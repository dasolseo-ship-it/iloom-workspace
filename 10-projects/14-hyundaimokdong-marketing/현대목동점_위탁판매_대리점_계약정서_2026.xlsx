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URSYS\Downloads\iloom-workspace-claude\10-projects\14-hyundaimokdong-marketing\"/>
    </mc:Choice>
  </mc:AlternateContent>
  <xr:revisionPtr revIDLastSave="0" documentId="13_ncr:1_{27DFAB45-39CA-4A3E-B431-E4BFBF20EC7B}" xr6:coauthVersionLast="36" xr6:coauthVersionMax="36" xr10:uidLastSave="{00000000-0000-0000-0000-000000000000}"/>
  <bookViews>
    <workbookView xWindow="11540" yWindow="-10" windowWidth="11450" windowHeight="9340" tabRatio="891" activeTab="4" xr2:uid="{00000000-000D-0000-FFFF-FFFF00000000}"/>
  </bookViews>
  <sheets>
    <sheet name="계약서" sheetId="1" r:id="rId1"/>
    <sheet name="약정서(수수료-투자b입점)" sheetId="4" r:id="rId2"/>
    <sheet name="약정서(CI,SI)" sheetId="7" r:id="rId3"/>
    <sheet name="약정서(개인정보)" sheetId="8" r:id="rId4"/>
    <sheet name="3D홈플래너 사용권계약서" sheetId="9" r:id="rId5"/>
    <sheet name="동반성장 및 청렴서약서" sheetId="10" r:id="rId6"/>
    <sheet name="계약체결용" sheetId="11" state="hidden" r:id="rId7"/>
    <sheet name="2503기준유통망" sheetId="12" state="hidden" r:id="rId8"/>
    <sheet name="26년계약체결용" sheetId="13" r:id="rId9"/>
    <sheet name="대리점유통망2603" sheetId="14" state="hidden" r:id="rId10"/>
    <sheet name="2603실제" sheetId="15" state="hidden" r:id="rId11"/>
    <sheet name="25년계약체결리스트" sheetId="16" state="hidden" r:id="rId12"/>
  </sheets>
  <definedNames>
    <definedName name="_xlnm._FilterDatabase" localSheetId="7" hidden="1">'2503기준유통망'!$B$1:$H$70</definedName>
    <definedName name="_xlnm._FilterDatabase" localSheetId="11" hidden="1">'25년계약체결리스트'!$B$2:$O$81</definedName>
    <definedName name="_xlnm._FilterDatabase" localSheetId="10" hidden="1">'2603실제'!$B$2:$G$72</definedName>
    <definedName name="_xlnm._FilterDatabase" localSheetId="8" hidden="1">'26년계약체결용'!$B$2:$P$66</definedName>
    <definedName name="_xlnm._FilterDatabase" localSheetId="6" hidden="1">계약체결용!$B$3:$O$70</definedName>
    <definedName name="_xlnm.Print_Area" localSheetId="0">계약서!$A$1:$K$339</definedName>
    <definedName name="_xlnm.Print_Area" localSheetId="2">'약정서(CI,SI)'!$A$1:$J$185</definedName>
    <definedName name="_xlnm.Print_Area" localSheetId="3">'약정서(개인정보)'!$A$1:$J$93</definedName>
    <definedName name="_xlnm.Print_Area" localSheetId="1">'약정서(수수료-투자b입점)'!$A$1:$M$146</definedName>
  </definedNames>
  <calcPr calcId="191029"/>
  <pivotCaches>
    <pivotCache cacheId="0" r:id="rId13"/>
  </pivotCaches>
</workbook>
</file>

<file path=xl/calcChain.xml><?xml version="1.0" encoding="utf-8"?>
<calcChain xmlns="http://schemas.openxmlformats.org/spreadsheetml/2006/main">
  <c r="N75" i="16" l="1"/>
  <c r="N74" i="16"/>
  <c r="N72" i="16"/>
  <c r="K72" i="16"/>
  <c r="J72" i="16"/>
  <c r="I72" i="16"/>
  <c r="H72" i="16"/>
  <c r="G72" i="16"/>
  <c r="N71" i="16"/>
  <c r="G71" i="16"/>
  <c r="C71" i="16"/>
  <c r="N70" i="16"/>
  <c r="G70" i="16"/>
  <c r="C70" i="16"/>
  <c r="N69" i="16"/>
  <c r="K69" i="16"/>
  <c r="K64" i="13" s="1"/>
  <c r="J69" i="16"/>
  <c r="I69" i="16"/>
  <c r="H69" i="16"/>
  <c r="G69" i="16"/>
  <c r="N68" i="16"/>
  <c r="K68" i="16"/>
  <c r="J68" i="16"/>
  <c r="J63" i="13" s="1"/>
  <c r="I68" i="16"/>
  <c r="H68" i="16"/>
  <c r="G68" i="16"/>
  <c r="N67" i="16"/>
  <c r="K67" i="16"/>
  <c r="J67" i="16"/>
  <c r="I67" i="16"/>
  <c r="I62" i="13" s="1"/>
  <c r="H67" i="16"/>
  <c r="G67" i="16"/>
  <c r="N66" i="16"/>
  <c r="K66" i="16"/>
  <c r="J66" i="16"/>
  <c r="I66" i="16"/>
  <c r="H66" i="16"/>
  <c r="G66" i="16"/>
  <c r="N65" i="16"/>
  <c r="K65" i="16"/>
  <c r="J65" i="16"/>
  <c r="I65" i="16"/>
  <c r="H65" i="16"/>
  <c r="G65" i="16"/>
  <c r="C65" i="16"/>
  <c r="N64" i="16"/>
  <c r="K64" i="16"/>
  <c r="J64" i="16"/>
  <c r="I64" i="16"/>
  <c r="H64" i="16"/>
  <c r="G64" i="16"/>
  <c r="N63" i="16"/>
  <c r="K63" i="16"/>
  <c r="J63" i="16"/>
  <c r="I63" i="16"/>
  <c r="H63" i="16"/>
  <c r="G63" i="16"/>
  <c r="N62" i="16"/>
  <c r="K62" i="16"/>
  <c r="J62" i="16"/>
  <c r="I62" i="16"/>
  <c r="H62" i="16"/>
  <c r="G62" i="16"/>
  <c r="N61" i="16"/>
  <c r="K61" i="16"/>
  <c r="K56" i="13" s="1"/>
  <c r="J61" i="16"/>
  <c r="I61" i="16"/>
  <c r="H61" i="16"/>
  <c r="G61" i="16"/>
  <c r="N60" i="16"/>
  <c r="K60" i="16"/>
  <c r="J60" i="16"/>
  <c r="I60" i="16"/>
  <c r="H60" i="16"/>
  <c r="G60" i="16"/>
  <c r="N59" i="16"/>
  <c r="K59" i="16"/>
  <c r="J59" i="16"/>
  <c r="I59" i="16"/>
  <c r="I54" i="13" s="1"/>
  <c r="H59" i="16"/>
  <c r="G59" i="16"/>
  <c r="N58" i="16"/>
  <c r="K58" i="16"/>
  <c r="J58" i="16"/>
  <c r="I58" i="16"/>
  <c r="H58" i="16"/>
  <c r="G58" i="16"/>
  <c r="N57" i="16"/>
  <c r="K57" i="16"/>
  <c r="J57" i="16"/>
  <c r="I57" i="16"/>
  <c r="H57" i="16"/>
  <c r="G57" i="16"/>
  <c r="N56" i="16"/>
  <c r="K56" i="16"/>
  <c r="J56" i="16"/>
  <c r="I56" i="16"/>
  <c r="H56" i="16"/>
  <c r="G56" i="16"/>
  <c r="N55" i="16"/>
  <c r="G55" i="16"/>
  <c r="C55" i="16"/>
  <c r="N54" i="16"/>
  <c r="K54" i="16"/>
  <c r="J54" i="16"/>
  <c r="I54" i="16"/>
  <c r="H54" i="16"/>
  <c r="G54" i="16"/>
  <c r="N53" i="16"/>
  <c r="K53" i="16"/>
  <c r="J53" i="16"/>
  <c r="I53" i="16"/>
  <c r="H53" i="16"/>
  <c r="G53" i="16"/>
  <c r="N52" i="16"/>
  <c r="J52" i="16"/>
  <c r="I52" i="16"/>
  <c r="G52" i="16"/>
  <c r="N51" i="16"/>
  <c r="K51" i="16"/>
  <c r="K43" i="13" s="1"/>
  <c r="J51" i="16"/>
  <c r="I51" i="16"/>
  <c r="H51" i="16"/>
  <c r="G51" i="16"/>
  <c r="C51" i="16"/>
  <c r="N50" i="16"/>
  <c r="G50" i="16"/>
  <c r="C50" i="16"/>
  <c r="N49" i="16"/>
  <c r="G49" i="16"/>
  <c r="C49" i="16"/>
  <c r="N48" i="16"/>
  <c r="G48" i="16"/>
  <c r="C48" i="16"/>
  <c r="N47" i="16"/>
  <c r="G47" i="16"/>
  <c r="C47" i="16"/>
  <c r="N46" i="16"/>
  <c r="K46" i="16"/>
  <c r="J46" i="16"/>
  <c r="I46" i="16"/>
  <c r="H46" i="16"/>
  <c r="G46" i="16"/>
  <c r="N45" i="16"/>
  <c r="K45" i="16"/>
  <c r="J45" i="16"/>
  <c r="I45" i="16"/>
  <c r="H45" i="16"/>
  <c r="G45" i="16"/>
  <c r="N44" i="16"/>
  <c r="K44" i="16"/>
  <c r="J44" i="16"/>
  <c r="I44" i="16"/>
  <c r="H44" i="16"/>
  <c r="G44" i="16"/>
  <c r="N43" i="16"/>
  <c r="K43" i="16"/>
  <c r="J43" i="16"/>
  <c r="I43" i="16"/>
  <c r="H43" i="16"/>
  <c r="G43" i="16"/>
  <c r="N42" i="16"/>
  <c r="K42" i="16"/>
  <c r="J42" i="16"/>
  <c r="I42" i="16"/>
  <c r="H42" i="16"/>
  <c r="G42" i="16"/>
  <c r="N41" i="16"/>
  <c r="K41" i="16"/>
  <c r="J41" i="16"/>
  <c r="I41" i="16"/>
  <c r="H41" i="16"/>
  <c r="G41" i="16"/>
  <c r="N40" i="16"/>
  <c r="K40" i="16"/>
  <c r="J40" i="16"/>
  <c r="I40" i="16"/>
  <c r="H40" i="16"/>
  <c r="G40" i="16"/>
  <c r="N39" i="16"/>
  <c r="K39" i="16"/>
  <c r="J39" i="16"/>
  <c r="I39" i="16"/>
  <c r="H39" i="16"/>
  <c r="G39" i="16"/>
  <c r="N38" i="16"/>
  <c r="K38" i="16"/>
  <c r="J38" i="16"/>
  <c r="I38" i="16"/>
  <c r="H38" i="16"/>
  <c r="G38" i="16"/>
  <c r="N37" i="16"/>
  <c r="K37" i="16"/>
  <c r="J37" i="16"/>
  <c r="I37" i="16"/>
  <c r="H37" i="16"/>
  <c r="G37" i="16"/>
  <c r="N36" i="16"/>
  <c r="K36" i="16"/>
  <c r="J36" i="16"/>
  <c r="I36" i="16"/>
  <c r="H36" i="16"/>
  <c r="G36" i="16"/>
  <c r="N35" i="16"/>
  <c r="K35" i="16"/>
  <c r="I35" i="16"/>
  <c r="H35" i="16"/>
  <c r="G35" i="16"/>
  <c r="N34" i="16"/>
  <c r="K34" i="16"/>
  <c r="J34" i="16"/>
  <c r="I34" i="16"/>
  <c r="I32" i="13" s="1"/>
  <c r="H34" i="16"/>
  <c r="G34" i="16"/>
  <c r="N33" i="16"/>
  <c r="K33" i="16"/>
  <c r="J33" i="16"/>
  <c r="I33" i="16"/>
  <c r="H33" i="16"/>
  <c r="H31" i="13" s="1"/>
  <c r="G33" i="16"/>
  <c r="N32" i="16"/>
  <c r="K32" i="16"/>
  <c r="J32" i="16"/>
  <c r="I32" i="16"/>
  <c r="H32" i="16"/>
  <c r="G32" i="16"/>
  <c r="N31" i="16"/>
  <c r="K31" i="16"/>
  <c r="J31" i="16"/>
  <c r="I31" i="16"/>
  <c r="H31" i="16"/>
  <c r="G31" i="16"/>
  <c r="N30" i="16"/>
  <c r="K30" i="16"/>
  <c r="J30" i="16"/>
  <c r="I30" i="16"/>
  <c r="H30" i="16"/>
  <c r="G30" i="16"/>
  <c r="N29" i="16"/>
  <c r="K29" i="16"/>
  <c r="J29" i="16"/>
  <c r="I29" i="16"/>
  <c r="H29" i="16"/>
  <c r="G29" i="16"/>
  <c r="N28" i="16"/>
  <c r="K28" i="16"/>
  <c r="K26" i="13" s="1"/>
  <c r="J28" i="16"/>
  <c r="I28" i="16"/>
  <c r="H28" i="16"/>
  <c r="G28" i="16"/>
  <c r="N27" i="16"/>
  <c r="K27" i="16"/>
  <c r="J27" i="16"/>
  <c r="J25" i="13" s="1"/>
  <c r="I27" i="16"/>
  <c r="H27" i="16"/>
  <c r="G27" i="16"/>
  <c r="N26" i="16"/>
  <c r="K26" i="16"/>
  <c r="J26" i="16"/>
  <c r="I26" i="16"/>
  <c r="I23" i="13" s="1"/>
  <c r="H26" i="16"/>
  <c r="G26" i="16"/>
  <c r="N25" i="16"/>
  <c r="K25" i="16"/>
  <c r="J25" i="16"/>
  <c r="I25" i="16"/>
  <c r="H25" i="16"/>
  <c r="H22" i="13" s="1"/>
  <c r="G25" i="16"/>
  <c r="N24" i="16"/>
  <c r="K24" i="16"/>
  <c r="I24" i="16"/>
  <c r="H24" i="16"/>
  <c r="G24" i="16"/>
  <c r="N23" i="16"/>
  <c r="K23" i="16"/>
  <c r="J23" i="16"/>
  <c r="I23" i="16"/>
  <c r="H23" i="16"/>
  <c r="G23" i="16"/>
  <c r="N22" i="16"/>
  <c r="K22" i="16"/>
  <c r="J22" i="16"/>
  <c r="I22" i="16"/>
  <c r="H22" i="16"/>
  <c r="G22" i="16"/>
  <c r="N21" i="16"/>
  <c r="K21" i="16"/>
  <c r="J21" i="16"/>
  <c r="I21" i="16"/>
  <c r="H21" i="16"/>
  <c r="G21" i="16"/>
  <c r="N20" i="16"/>
  <c r="K20" i="16"/>
  <c r="J20" i="16"/>
  <c r="I20" i="16"/>
  <c r="H20" i="16"/>
  <c r="G20" i="16"/>
  <c r="N19" i="16"/>
  <c r="K19" i="16"/>
  <c r="J19" i="16"/>
  <c r="I19" i="16"/>
  <c r="H19" i="16"/>
  <c r="G19" i="16"/>
  <c r="N18" i="16"/>
  <c r="K18" i="16"/>
  <c r="J18" i="16"/>
  <c r="I18" i="16"/>
  <c r="H18" i="16"/>
  <c r="H15" i="13" s="1"/>
  <c r="G18" i="16"/>
  <c r="N17" i="16"/>
  <c r="G17" i="16"/>
  <c r="N16" i="16"/>
  <c r="K16" i="16"/>
  <c r="J16" i="16"/>
  <c r="I16" i="16"/>
  <c r="H16" i="16"/>
  <c r="G16" i="16"/>
  <c r="N15" i="16"/>
  <c r="K15" i="16"/>
  <c r="J15" i="16"/>
  <c r="I15" i="16"/>
  <c r="H15" i="16"/>
  <c r="H13" i="13" s="1"/>
  <c r="G15" i="16"/>
  <c r="N14" i="16"/>
  <c r="K14" i="16"/>
  <c r="J14" i="16"/>
  <c r="I14" i="16"/>
  <c r="H14" i="16"/>
  <c r="G14" i="16"/>
  <c r="N13" i="16"/>
  <c r="K13" i="16"/>
  <c r="J13" i="16"/>
  <c r="I13" i="16"/>
  <c r="H13" i="16"/>
  <c r="G13" i="16"/>
  <c r="N12" i="16"/>
  <c r="K12" i="16"/>
  <c r="J12" i="16"/>
  <c r="I12" i="16"/>
  <c r="H12" i="16"/>
  <c r="G12" i="16"/>
  <c r="N11" i="16"/>
  <c r="K11" i="16"/>
  <c r="J11" i="16"/>
  <c r="I11" i="16"/>
  <c r="H11" i="16"/>
  <c r="G11" i="16"/>
  <c r="N10" i="16"/>
  <c r="K10" i="16"/>
  <c r="K8" i="13" s="1"/>
  <c r="J10" i="16"/>
  <c r="I10" i="16"/>
  <c r="H10" i="16"/>
  <c r="G10" i="16"/>
  <c r="N9" i="16"/>
  <c r="K9" i="16"/>
  <c r="J9" i="16"/>
  <c r="J7" i="13" s="1"/>
  <c r="I9" i="16"/>
  <c r="H9" i="16"/>
  <c r="G9" i="16"/>
  <c r="N8" i="16"/>
  <c r="K8" i="16"/>
  <c r="J8" i="16"/>
  <c r="I8" i="16"/>
  <c r="I6" i="13" s="1"/>
  <c r="H8" i="16"/>
  <c r="G8" i="16"/>
  <c r="N7" i="16"/>
  <c r="K7" i="16"/>
  <c r="J7" i="16"/>
  <c r="I7" i="16"/>
  <c r="H7" i="16"/>
  <c r="H5" i="13" s="1"/>
  <c r="G7" i="16"/>
  <c r="N6" i="16"/>
  <c r="K6" i="16"/>
  <c r="J6" i="16"/>
  <c r="I6" i="16"/>
  <c r="H6" i="16"/>
  <c r="G6" i="16"/>
  <c r="N5" i="16"/>
  <c r="K5" i="16"/>
  <c r="J5" i="16"/>
  <c r="I5" i="16"/>
  <c r="H5" i="16"/>
  <c r="G5" i="16"/>
  <c r="N4" i="16"/>
  <c r="G4" i="16"/>
  <c r="C4" i="16"/>
  <c r="N3" i="16"/>
  <c r="K3" i="16"/>
  <c r="J3" i="16"/>
  <c r="I3" i="16"/>
  <c r="H3" i="16"/>
  <c r="G3" i="16"/>
  <c r="O66" i="13"/>
  <c r="N66" i="13"/>
  <c r="K66" i="13"/>
  <c r="J66" i="13"/>
  <c r="I66" i="13"/>
  <c r="H66" i="13"/>
  <c r="G66" i="13"/>
  <c r="C66" i="13"/>
  <c r="O65" i="13"/>
  <c r="N65" i="13"/>
  <c r="K65" i="13"/>
  <c r="J65" i="13"/>
  <c r="I65" i="13"/>
  <c r="H65" i="13"/>
  <c r="G65" i="13"/>
  <c r="C65" i="13"/>
  <c r="O64" i="13"/>
  <c r="N64" i="13"/>
  <c r="J64" i="13"/>
  <c r="I64" i="13"/>
  <c r="H64" i="13"/>
  <c r="G64" i="13"/>
  <c r="C64" i="13"/>
  <c r="O63" i="13"/>
  <c r="N63" i="13"/>
  <c r="K63" i="13"/>
  <c r="I63" i="13"/>
  <c r="H63" i="13"/>
  <c r="G63" i="13"/>
  <c r="C63" i="13"/>
  <c r="O62" i="13"/>
  <c r="N62" i="13"/>
  <c r="K62" i="13"/>
  <c r="J62" i="13"/>
  <c r="H62" i="13"/>
  <c r="G62" i="13"/>
  <c r="C62" i="13"/>
  <c r="O61" i="13"/>
  <c r="N61" i="13"/>
  <c r="K61" i="13"/>
  <c r="J61" i="13"/>
  <c r="I61" i="13"/>
  <c r="H61" i="13"/>
  <c r="G61" i="13"/>
  <c r="C61" i="13"/>
  <c r="O60" i="13"/>
  <c r="N60" i="13"/>
  <c r="K60" i="13"/>
  <c r="J60" i="13"/>
  <c r="I60" i="13"/>
  <c r="H60" i="13"/>
  <c r="G60" i="13"/>
  <c r="C60" i="13"/>
  <c r="O59" i="13"/>
  <c r="N59" i="13"/>
  <c r="K59" i="13"/>
  <c r="J59" i="13"/>
  <c r="I59" i="13"/>
  <c r="H59" i="13"/>
  <c r="G59" i="13"/>
  <c r="C59" i="13"/>
  <c r="O58" i="13"/>
  <c r="N58" i="13"/>
  <c r="G58" i="13"/>
  <c r="C58" i="13"/>
  <c r="O57" i="13"/>
  <c r="N57" i="13"/>
  <c r="J57" i="13"/>
  <c r="I57" i="13"/>
  <c r="G57" i="13"/>
  <c r="C57" i="13"/>
  <c r="O56" i="13"/>
  <c r="N56" i="13"/>
  <c r="J56" i="13"/>
  <c r="I56" i="13"/>
  <c r="H56" i="13"/>
  <c r="G56" i="13"/>
  <c r="C56" i="13"/>
  <c r="O55" i="13"/>
  <c r="N55" i="13"/>
  <c r="K55" i="13"/>
  <c r="J55" i="13"/>
  <c r="I55" i="13"/>
  <c r="H55" i="13"/>
  <c r="G55" i="13"/>
  <c r="C55" i="13"/>
  <c r="O54" i="13"/>
  <c r="N54" i="13"/>
  <c r="K54" i="13"/>
  <c r="J54" i="13"/>
  <c r="H54" i="13"/>
  <c r="G54" i="13"/>
  <c r="C54" i="13"/>
  <c r="O53" i="13"/>
  <c r="N53" i="13"/>
  <c r="K53" i="13"/>
  <c r="J53" i="13"/>
  <c r="I53" i="13"/>
  <c r="H53" i="13"/>
  <c r="G53" i="13"/>
  <c r="C53" i="13"/>
  <c r="O52" i="13"/>
  <c r="N52" i="13"/>
  <c r="K52" i="13"/>
  <c r="J52" i="13"/>
  <c r="I52" i="13"/>
  <c r="H52" i="13"/>
  <c r="G52" i="13"/>
  <c r="C52" i="13"/>
  <c r="O51" i="13"/>
  <c r="N51" i="13"/>
  <c r="K51" i="13"/>
  <c r="J51" i="13"/>
  <c r="I51" i="13"/>
  <c r="H51" i="13"/>
  <c r="G51" i="13"/>
  <c r="C51" i="13"/>
  <c r="O50" i="13"/>
  <c r="N50" i="13"/>
  <c r="J50" i="13"/>
  <c r="I50" i="13"/>
  <c r="H50" i="13"/>
  <c r="G50" i="13"/>
  <c r="O49" i="13"/>
  <c r="N49" i="13"/>
  <c r="K49" i="13"/>
  <c r="J49" i="13"/>
  <c r="I49" i="13"/>
  <c r="H49" i="13"/>
  <c r="G49" i="13"/>
  <c r="C49" i="13"/>
  <c r="O48" i="13"/>
  <c r="N48" i="13"/>
  <c r="K48" i="13"/>
  <c r="J48" i="13"/>
  <c r="I48" i="13"/>
  <c r="H48" i="13"/>
  <c r="G48" i="13"/>
  <c r="C48" i="13"/>
  <c r="O47" i="13"/>
  <c r="N47" i="13"/>
  <c r="K47" i="13"/>
  <c r="J47" i="13"/>
  <c r="I47" i="13"/>
  <c r="H47" i="13"/>
  <c r="G47" i="13"/>
  <c r="C47" i="13"/>
  <c r="O46" i="13"/>
  <c r="N46" i="13"/>
  <c r="K46" i="13"/>
  <c r="J46" i="13"/>
  <c r="I46" i="13"/>
  <c r="H46" i="13"/>
  <c r="G46" i="13"/>
  <c r="C46" i="13"/>
  <c r="O45" i="13"/>
  <c r="N45" i="13"/>
  <c r="G45" i="13"/>
  <c r="C45" i="13"/>
  <c r="O44" i="13"/>
  <c r="N44" i="13"/>
  <c r="K44" i="13"/>
  <c r="J44" i="13"/>
  <c r="I44" i="13"/>
  <c r="H44" i="13"/>
  <c r="G44" i="13"/>
  <c r="C44" i="13"/>
  <c r="O43" i="13"/>
  <c r="N43" i="13"/>
  <c r="J43" i="13"/>
  <c r="I43" i="13"/>
  <c r="H43" i="13"/>
  <c r="G43" i="13"/>
  <c r="C43" i="13"/>
  <c r="O42" i="13"/>
  <c r="N42" i="13"/>
  <c r="K42" i="13"/>
  <c r="J42" i="13"/>
  <c r="I42" i="13"/>
  <c r="H42" i="13"/>
  <c r="G42" i="13"/>
  <c r="C42" i="13"/>
  <c r="O41" i="13"/>
  <c r="N41" i="13"/>
  <c r="K41" i="13"/>
  <c r="J41" i="13"/>
  <c r="I41" i="13"/>
  <c r="H41" i="13"/>
  <c r="G41" i="13"/>
  <c r="C41" i="13"/>
  <c r="O40" i="13"/>
  <c r="N40" i="13"/>
  <c r="J40" i="13"/>
  <c r="I40" i="13"/>
  <c r="H40" i="13"/>
  <c r="G40" i="13"/>
  <c r="C40" i="13"/>
  <c r="O39" i="13"/>
  <c r="N39" i="13"/>
  <c r="K39" i="13"/>
  <c r="J39" i="13"/>
  <c r="I39" i="13"/>
  <c r="H39" i="13"/>
  <c r="G39" i="13"/>
  <c r="C39" i="13"/>
  <c r="O38" i="13"/>
  <c r="N38" i="13"/>
  <c r="K38" i="13"/>
  <c r="J38" i="13"/>
  <c r="I38" i="13"/>
  <c r="H38" i="13"/>
  <c r="G38" i="13"/>
  <c r="C38" i="13"/>
  <c r="O37" i="13"/>
  <c r="N37" i="13"/>
  <c r="G37" i="13"/>
  <c r="C37" i="13"/>
  <c r="O36" i="13"/>
  <c r="N36" i="13"/>
  <c r="K36" i="13"/>
  <c r="J36" i="13"/>
  <c r="I36" i="13"/>
  <c r="H36" i="13"/>
  <c r="G36" i="13"/>
  <c r="C36" i="13"/>
  <c r="O35" i="13"/>
  <c r="N35" i="13"/>
  <c r="K35" i="13"/>
  <c r="J35" i="13"/>
  <c r="I35" i="13"/>
  <c r="H35" i="13"/>
  <c r="G35" i="13"/>
  <c r="C35" i="13"/>
  <c r="O34" i="13"/>
  <c r="N34" i="13"/>
  <c r="K34" i="13"/>
  <c r="J34" i="13"/>
  <c r="I34" i="13"/>
  <c r="H34" i="13"/>
  <c r="G34" i="13"/>
  <c r="C34" i="13"/>
  <c r="O33" i="13"/>
  <c r="N33" i="13"/>
  <c r="K33" i="13"/>
  <c r="J33" i="13"/>
  <c r="I33" i="13"/>
  <c r="H33" i="13"/>
  <c r="G33" i="13"/>
  <c r="C33" i="13"/>
  <c r="O32" i="13"/>
  <c r="N32" i="13"/>
  <c r="K32" i="13"/>
  <c r="J32" i="13"/>
  <c r="H32" i="13"/>
  <c r="G32" i="13"/>
  <c r="C32" i="13"/>
  <c r="O31" i="13"/>
  <c r="N31" i="13"/>
  <c r="K31" i="13"/>
  <c r="J31" i="13"/>
  <c r="I31" i="13"/>
  <c r="G31" i="13"/>
  <c r="C31" i="13"/>
  <c r="O30" i="13"/>
  <c r="N30" i="13"/>
  <c r="K30" i="13"/>
  <c r="J30" i="13"/>
  <c r="I30" i="13"/>
  <c r="H30" i="13"/>
  <c r="G30" i="13"/>
  <c r="C30" i="13"/>
  <c r="O29" i="13"/>
  <c r="N29" i="13"/>
  <c r="K29" i="13"/>
  <c r="J29" i="13"/>
  <c r="I29" i="13"/>
  <c r="H29" i="13"/>
  <c r="G29" i="13"/>
  <c r="C29" i="13"/>
  <c r="O28" i="13"/>
  <c r="N28" i="13"/>
  <c r="K28" i="13"/>
  <c r="J28" i="13"/>
  <c r="I28" i="13"/>
  <c r="H28" i="13"/>
  <c r="G28" i="13"/>
  <c r="C28" i="13"/>
  <c r="O27" i="13"/>
  <c r="N27" i="13"/>
  <c r="K27" i="13"/>
  <c r="J27" i="13"/>
  <c r="I27" i="13"/>
  <c r="H27" i="13"/>
  <c r="G27" i="13"/>
  <c r="C27" i="13"/>
  <c r="O26" i="13"/>
  <c r="N26" i="13"/>
  <c r="J26" i="13"/>
  <c r="I26" i="13"/>
  <c r="H26" i="13"/>
  <c r="G26" i="13"/>
  <c r="C26" i="13"/>
  <c r="O25" i="13"/>
  <c r="N25" i="13"/>
  <c r="K25" i="13"/>
  <c r="I25" i="13"/>
  <c r="H25" i="13"/>
  <c r="G25" i="13"/>
  <c r="C25" i="13"/>
  <c r="O24" i="13"/>
  <c r="N24" i="13"/>
  <c r="G24" i="13"/>
  <c r="C24" i="13"/>
  <c r="O23" i="13"/>
  <c r="N23" i="13"/>
  <c r="K23" i="13"/>
  <c r="J23" i="13"/>
  <c r="H23" i="13"/>
  <c r="G23" i="13"/>
  <c r="C23" i="13"/>
  <c r="O22" i="13"/>
  <c r="N22" i="13"/>
  <c r="K22" i="13"/>
  <c r="J22" i="13"/>
  <c r="I22" i="13"/>
  <c r="G22" i="13"/>
  <c r="C22" i="13"/>
  <c r="O21" i="13"/>
  <c r="N21" i="13"/>
  <c r="K21" i="13"/>
  <c r="J21" i="13"/>
  <c r="I21" i="13"/>
  <c r="H21" i="13"/>
  <c r="G21" i="13"/>
  <c r="C21" i="13"/>
  <c r="O20" i="13"/>
  <c r="N20" i="13"/>
  <c r="K20" i="13"/>
  <c r="J20" i="13"/>
  <c r="I20" i="13"/>
  <c r="H20" i="13"/>
  <c r="G20" i="13"/>
  <c r="C20" i="13"/>
  <c r="O19" i="13"/>
  <c r="N19" i="13"/>
  <c r="K19" i="13"/>
  <c r="J19" i="13"/>
  <c r="I19" i="13"/>
  <c r="H19" i="13"/>
  <c r="G19" i="13"/>
  <c r="C19" i="13"/>
  <c r="O18" i="13"/>
  <c r="N18" i="13"/>
  <c r="K18" i="13"/>
  <c r="J18" i="13"/>
  <c r="I18" i="13"/>
  <c r="H18" i="13"/>
  <c r="G18" i="13"/>
  <c r="C18" i="13"/>
  <c r="O17" i="13"/>
  <c r="N17" i="13"/>
  <c r="K17" i="13"/>
  <c r="J17" i="13"/>
  <c r="I17" i="13"/>
  <c r="H17" i="13"/>
  <c r="G17" i="13"/>
  <c r="C17" i="13"/>
  <c r="O16" i="13"/>
  <c r="N16" i="13"/>
  <c r="G16" i="13"/>
  <c r="C16" i="13"/>
  <c r="O15" i="13"/>
  <c r="N15" i="13"/>
  <c r="K15" i="13"/>
  <c r="J15" i="13"/>
  <c r="I15" i="13"/>
  <c r="G15" i="13"/>
  <c r="C15" i="13"/>
  <c r="O14" i="13"/>
  <c r="N14" i="13"/>
  <c r="K14" i="13"/>
  <c r="J14" i="13"/>
  <c r="I14" i="13"/>
  <c r="H14" i="13"/>
  <c r="G14" i="13"/>
  <c r="C14" i="13"/>
  <c r="O13" i="13"/>
  <c r="N13" i="13"/>
  <c r="K13" i="13"/>
  <c r="J13" i="13"/>
  <c r="I13" i="13"/>
  <c r="G13" i="13"/>
  <c r="C13" i="13"/>
  <c r="O12" i="13"/>
  <c r="N12" i="13"/>
  <c r="K12" i="13"/>
  <c r="J12" i="13"/>
  <c r="I12" i="13"/>
  <c r="H12" i="13"/>
  <c r="G12" i="13"/>
  <c r="C12" i="13"/>
  <c r="O11" i="13"/>
  <c r="N11" i="13"/>
  <c r="K11" i="13"/>
  <c r="J11" i="13"/>
  <c r="I11" i="13"/>
  <c r="H11" i="13"/>
  <c r="G11" i="13"/>
  <c r="C11" i="13"/>
  <c r="O10" i="13"/>
  <c r="N10" i="13"/>
  <c r="K10" i="13"/>
  <c r="J10" i="13"/>
  <c r="I10" i="13"/>
  <c r="H10" i="13"/>
  <c r="G10" i="13"/>
  <c r="C10" i="13"/>
  <c r="O9" i="13"/>
  <c r="N9" i="13"/>
  <c r="K9" i="13"/>
  <c r="J9" i="13"/>
  <c r="I9" i="13"/>
  <c r="H9" i="13"/>
  <c r="G9" i="13"/>
  <c r="C9" i="13"/>
  <c r="O8" i="13"/>
  <c r="N8" i="13"/>
  <c r="J8" i="13"/>
  <c r="I8" i="13"/>
  <c r="H8" i="13"/>
  <c r="G8" i="13"/>
  <c r="C8" i="13"/>
  <c r="O7" i="13"/>
  <c r="N7" i="13"/>
  <c r="K7" i="13"/>
  <c r="I7" i="13"/>
  <c r="H7" i="13"/>
  <c r="G7" i="13"/>
  <c r="C7" i="13"/>
  <c r="O6" i="13"/>
  <c r="N6" i="13"/>
  <c r="K6" i="13"/>
  <c r="J6" i="13"/>
  <c r="H6" i="13"/>
  <c r="G6" i="13"/>
  <c r="C6" i="13"/>
  <c r="O5" i="13"/>
  <c r="N5" i="13"/>
  <c r="K5" i="13"/>
  <c r="J5" i="13"/>
  <c r="I5" i="13"/>
  <c r="G5" i="13"/>
  <c r="C5" i="13"/>
  <c r="O4" i="13"/>
  <c r="N4" i="13"/>
  <c r="K4" i="13"/>
  <c r="J4" i="13"/>
  <c r="I4" i="13"/>
  <c r="H4" i="13"/>
  <c r="G4" i="13"/>
  <c r="C4" i="13"/>
  <c r="O3" i="13"/>
  <c r="N3" i="13"/>
  <c r="K3" i="13"/>
  <c r="J3" i="13"/>
  <c r="I3" i="13"/>
  <c r="H3" i="13"/>
  <c r="G3" i="13"/>
  <c r="C3" i="13"/>
  <c r="F70" i="12"/>
  <c r="C39" i="16" s="1"/>
  <c r="D70" i="12"/>
  <c r="D69" i="12"/>
  <c r="F69" i="12" s="1"/>
  <c r="C32" i="16" s="1"/>
  <c r="D68" i="12"/>
  <c r="F68" i="12" s="1"/>
  <c r="C60" i="16" s="1"/>
  <c r="D67" i="12"/>
  <c r="F67" i="12" s="1"/>
  <c r="C31" i="16" s="1"/>
  <c r="F66" i="12"/>
  <c r="C27" i="16" s="1"/>
  <c r="D66" i="12"/>
  <c r="D65" i="12"/>
  <c r="F65" i="12" s="1"/>
  <c r="C22" i="16" s="1"/>
  <c r="D64" i="12"/>
  <c r="F64" i="12" s="1"/>
  <c r="C16" i="16" s="1"/>
  <c r="D63" i="12"/>
  <c r="F63" i="12" s="1"/>
  <c r="C13" i="16" s="1"/>
  <c r="F62" i="12"/>
  <c r="C11" i="16" s="1"/>
  <c r="D62" i="12"/>
  <c r="D61" i="12"/>
  <c r="F61" i="12" s="1"/>
  <c r="C42" i="16" s="1"/>
  <c r="D60" i="12"/>
  <c r="F60" i="12" s="1"/>
  <c r="C3" i="16" s="1"/>
  <c r="D59" i="12"/>
  <c r="F59" i="12" s="1"/>
  <c r="C46" i="16" s="1"/>
  <c r="F58" i="12"/>
  <c r="C57" i="16" s="1"/>
  <c r="D58" i="12"/>
  <c r="D57" i="12"/>
  <c r="F57" i="12" s="1"/>
  <c r="C24" i="16" s="1"/>
  <c r="D56" i="12"/>
  <c r="F56" i="12" s="1"/>
  <c r="C69" i="16" s="1"/>
  <c r="D55" i="12"/>
  <c r="F55" i="12" s="1"/>
  <c r="C68" i="16" s="1"/>
  <c r="F54" i="12"/>
  <c r="C15" i="16" s="1"/>
  <c r="D54" i="12"/>
  <c r="D53" i="12"/>
  <c r="F53" i="12" s="1"/>
  <c r="C72" i="16" s="1"/>
  <c r="D52" i="12"/>
  <c r="D51" i="12"/>
  <c r="D50" i="12"/>
  <c r="F50" i="12" s="1"/>
  <c r="C63" i="16" s="1"/>
  <c r="F49" i="12"/>
  <c r="C62" i="16" s="1"/>
  <c r="D49" i="12"/>
  <c r="D48" i="12"/>
  <c r="F48" i="12" s="1"/>
  <c r="C54" i="16" s="1"/>
  <c r="D47" i="12"/>
  <c r="F47" i="12" s="1"/>
  <c r="C44" i="16" s="1"/>
  <c r="D46" i="12"/>
  <c r="F46" i="12" s="1"/>
  <c r="C34" i="16" s="1"/>
  <c r="F45" i="12"/>
  <c r="C33" i="16" s="1"/>
  <c r="D45" i="12"/>
  <c r="D44" i="12"/>
  <c r="F44" i="12" s="1"/>
  <c r="C58" i="16" s="1"/>
  <c r="D43" i="12"/>
  <c r="F43" i="12" s="1"/>
  <c r="C26" i="16" s="1"/>
  <c r="D42" i="12"/>
  <c r="F42" i="12" s="1"/>
  <c r="C25" i="16" s="1"/>
  <c r="F41" i="12"/>
  <c r="C12" i="16" s="1"/>
  <c r="D41" i="12"/>
  <c r="D40" i="12"/>
  <c r="F40" i="12" s="1"/>
  <c r="C64" i="16" s="1"/>
  <c r="D39" i="12"/>
  <c r="D38" i="12"/>
  <c r="F38" i="12" s="1"/>
  <c r="C9" i="16" s="1"/>
  <c r="D37" i="12"/>
  <c r="F36" i="12"/>
  <c r="C53" i="16" s="1"/>
  <c r="D36" i="12"/>
  <c r="D35" i="12"/>
  <c r="F35" i="12" s="1"/>
  <c r="C29" i="16" s="1"/>
  <c r="D34" i="12"/>
  <c r="F34" i="12" s="1"/>
  <c r="C59" i="16" s="1"/>
  <c r="D33" i="12"/>
  <c r="F33" i="12" s="1"/>
  <c r="C28" i="16" s="1"/>
  <c r="D32" i="12"/>
  <c r="D31" i="12"/>
  <c r="F31" i="12" s="1"/>
  <c r="C66" i="16" s="1"/>
  <c r="D30" i="12"/>
  <c r="F30" i="12" s="1"/>
  <c r="C14" i="16" s="1"/>
  <c r="D29" i="12"/>
  <c r="D28" i="12"/>
  <c r="F27" i="12"/>
  <c r="C8" i="16" s="1"/>
  <c r="D27" i="12"/>
  <c r="D26" i="12"/>
  <c r="F26" i="12" s="1"/>
  <c r="C6" i="16" s="1"/>
  <c r="D25" i="12"/>
  <c r="F25" i="12" s="1"/>
  <c r="C52" i="16" s="1"/>
  <c r="D24" i="12"/>
  <c r="F24" i="12" s="1"/>
  <c r="C43" i="16" s="1"/>
  <c r="F23" i="12"/>
  <c r="C41" i="16" s="1"/>
  <c r="D23" i="12"/>
  <c r="D22" i="12"/>
  <c r="F22" i="12" s="1"/>
  <c r="C40" i="16" s="1"/>
  <c r="D21" i="12"/>
  <c r="F21" i="12" s="1"/>
  <c r="C30" i="16" s="1"/>
  <c r="D20" i="12"/>
  <c r="F20" i="12" s="1"/>
  <c r="C23" i="16" s="1"/>
  <c r="F19" i="12"/>
  <c r="C45" i="16" s="1"/>
  <c r="D19" i="12"/>
  <c r="D18" i="12"/>
  <c r="F18" i="12" s="1"/>
  <c r="C67" i="16" s="1"/>
  <c r="D17" i="12"/>
  <c r="F17" i="12" s="1"/>
  <c r="C21" i="16" s="1"/>
  <c r="D16" i="12"/>
  <c r="F16" i="12" s="1"/>
  <c r="C10" i="16" s="1"/>
  <c r="F15" i="12"/>
  <c r="C7" i="16" s="1"/>
  <c r="D15" i="12"/>
  <c r="D14" i="12"/>
  <c r="F14" i="12" s="1"/>
  <c r="C5" i="16" s="1"/>
  <c r="D13" i="12"/>
  <c r="F13" i="12" s="1"/>
  <c r="C38" i="16" s="1"/>
  <c r="D12" i="12"/>
  <c r="F12" i="12" s="1"/>
  <c r="C37" i="16" s="1"/>
  <c r="F11" i="12"/>
  <c r="C36" i="16" s="1"/>
  <c r="D11" i="12"/>
  <c r="D10" i="12"/>
  <c r="F10" i="12" s="1"/>
  <c r="C61" i="16" s="1"/>
  <c r="D9" i="12"/>
  <c r="F9" i="12" s="1"/>
  <c r="C35" i="16" s="1"/>
  <c r="D8" i="12"/>
  <c r="D7" i="12"/>
  <c r="F7" i="12" s="1"/>
  <c r="C20" i="16" s="1"/>
  <c r="F6" i="12"/>
  <c r="C19" i="16" s="1"/>
  <c r="D6" i="12"/>
  <c r="D5" i="12"/>
  <c r="F5" i="12" s="1"/>
  <c r="C18" i="16" s="1"/>
  <c r="D4" i="12"/>
  <c r="D3" i="12"/>
  <c r="D2" i="12"/>
  <c r="F2" i="12" s="1"/>
  <c r="C56" i="16" s="1"/>
  <c r="G70" i="11"/>
  <c r="G69" i="11"/>
  <c r="G68" i="11"/>
  <c r="G67" i="11"/>
  <c r="G66" i="11"/>
  <c r="G65" i="11"/>
  <c r="G64" i="11"/>
  <c r="N63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D44" i="10"/>
  <c r="D43" i="10"/>
  <c r="D42" i="10"/>
  <c r="D39" i="10"/>
  <c r="D38" i="10"/>
  <c r="D37" i="10"/>
  <c r="C34" i="10"/>
  <c r="D112" i="9"/>
  <c r="D111" i="9"/>
  <c r="D110" i="9"/>
  <c r="D107" i="9"/>
  <c r="D106" i="9"/>
  <c r="D105" i="9"/>
  <c r="C102" i="9"/>
  <c r="B41" i="9"/>
  <c r="B34" i="9"/>
  <c r="B22" i="9"/>
  <c r="B6" i="9"/>
  <c r="P73" i="4"/>
  <c r="P74" i="4" s="1"/>
  <c r="P72" i="4"/>
  <c r="P71" i="4"/>
  <c r="P36" i="4"/>
  <c r="P35" i="4"/>
  <c r="P34" i="4"/>
  <c r="P37" i="4" s="1"/>
</calcChain>
</file>

<file path=xl/sharedStrings.xml><?xml version="1.0" encoding="utf-8"?>
<sst xmlns="http://schemas.openxmlformats.org/spreadsheetml/2006/main" count="3898" uniqueCount="1612">
  <si>
    <t>대리점명</t>
  </si>
  <si>
    <t>계약기간</t>
  </si>
  <si>
    <t>매장유형</t>
  </si>
  <si>
    <t>거래보증금</t>
  </si>
  <si>
    <t>현대목동</t>
  </si>
  <si>
    <t>2026년 5월 1일 ~ 2027년 3월 31일</t>
  </si>
  <si>
    <t>투자형B-입점</t>
  </si>
  <si>
    <t>이천만원 (₩20,000,000원)</t>
  </si>
  <si>
    <t>상호</t>
  </si>
  <si>
    <t>사업자번호</t>
  </si>
  <si>
    <t>대표자</t>
  </si>
  <si>
    <t>주소</t>
  </si>
  <si>
    <t>페드라</t>
  </si>
  <si>
    <t>417-10-72598</t>
  </si>
  <si>
    <t>안 중 우</t>
  </si>
  <si>
    <t>경기도 고양시 덕양구 고양대로 1955, B1층(동산동)</t>
  </si>
  <si>
    <t>일룸 위탁판매 대리점 계약서</t>
  </si>
  <si>
    <t>계약날짜</t>
  </si>
  <si>
    <t xml:space="preserve">◇ 계약기간 : </t>
  </si>
  <si>
    <t>체크</t>
  </si>
  <si>
    <t xml:space="preserve">◇ 거래보증금 : </t>
  </si>
  <si>
    <t>※거래보증금 개별운영 예외로 스타필드 수원(6층)점 거래보증금과 통합 운영</t>
  </si>
  <si>
    <t>◇ 매장유형 :</t>
  </si>
  <si>
    <t>스수키즈</t>
  </si>
  <si>
    <t>◇ 납품방법 및 장소</t>
  </si>
  <si>
    <t>납품방법 : 공급업자 직접 운송 및 시공</t>
  </si>
  <si>
    <t>납품장소 : 고객 또는 대리점 지정 장소</t>
  </si>
  <si>
    <t>㈜일룸 (이하 공급업자)과 페드라(일룸 현대목동) (이하 대리점)은 신의에 따라</t>
  </si>
  <si>
    <t>성실히 계약상의 권리를 행사하고, 의무를 이행할 것을 확약하며, 그 증거로써 이 계약서를 작성하여 당사자가</t>
  </si>
  <si>
    <t>서명 또는 기명날인한 후 각각 1부씩 보관한다.</t>
  </si>
  <si>
    <t>"공급업자"</t>
  </si>
  <si>
    <t>상호 :</t>
  </si>
  <si>
    <t>주식회사 일룸 (215-86-93600)</t>
  </si>
  <si>
    <t>주소 :</t>
  </si>
  <si>
    <t>서울특별시 송파구 오금동 45-1 퍼시스빌딩 8층</t>
  </si>
  <si>
    <t>대표 :</t>
  </si>
  <si>
    <t>정 보 은</t>
  </si>
  <si>
    <t>(인)</t>
  </si>
  <si>
    <t>"대리점"</t>
  </si>
  <si>
    <t>페드라 (일룸 현대목동점 / 417-10-72598)</t>
  </si>
  <si>
    <t>제1조 [목적]</t>
  </si>
  <si>
    <t xml:space="preserve">  이 계약은 공급업자와 대리점간의 대리점거래에 있어서 양 당사자 사이의 공정한 계약조건에 따른 기본적인 권리와 의무를</t>
  </si>
  <si>
    <t>제시하는 것을 목적으로 한다.</t>
  </si>
  <si>
    <t>제2조 [기본원칙]</t>
  </si>
  <si>
    <t>1) 공급업자와 대리점은 대등한 지위에서 이 계약상의 의무를 신의에 따라 성실히 이행함으로써 상호 공정한</t>
  </si>
  <si>
    <t>거래관계와 동반성장을 추구한다.</t>
  </si>
  <si>
    <t>2) 공급업자와 대리점은 이 계약의 체결 및 이행과 관련하여 「독점규제 및 공정거래에 관한 법률」,</t>
  </si>
  <si>
    <t>「약관의 규제에 관한 법률」, 「대리점거래의 공정화에 관한 법률」 등의 관계 법령을 준수한다.</t>
  </si>
  <si>
    <t>제3조 [공정거래 준수 및 동반성장 지원]</t>
  </si>
  <si>
    <t>1) 공급업자와 대리점은 공정하고 투명한 거래를 위하여 다음 각 호의 내용을 준수한다.</t>
  </si>
  <si>
    <t>① 상대방에게 금품, 향응, 편의 또는 접대를 요구하거나 제공해서는 아니 되며, 위법하거나 부당한 행위를</t>
  </si>
  <si>
    <t>하지 아니한다.</t>
  </si>
  <si>
    <t>② 거래상 우월적 지위를 남용하여 공정한 거래질서에 반하는 행위를 요구하지 아니한다.</t>
  </si>
  <si>
    <t>③ 공급업자와 대리점은 계약 및 경영상 알게 된 상대방의 영업상의 비밀을 계약기간은 물론이고, 계약종료</t>
  </si>
  <si>
    <t>후에도 제3자에게 누설하거나,다른 목적으로 사용해서는 안 된다.</t>
  </si>
  <si>
    <t>2) 공급업자는 대리점과의 동반성장을 위하여 대리점의 재무건전화, 근무환경개선 등 대리점을 위한 다양한</t>
  </si>
  <si>
    <t>지원프로그램을 마련하여 지원하는데 노력한다.</t>
  </si>
  <si>
    <t>제4조 [거래형태]</t>
  </si>
  <si>
    <t>1) 공급업자는 대리점에게 자신의 상품에 대한 판매를 위탁하고, 대리점은 공급업자의 위탁을 받아 이를 판매하고</t>
  </si>
  <si>
    <t>위탁판매에 대한 판매수수료를 지급받는다. 상품의 소유권은 판매 시까지 공급업자에게 있다.</t>
  </si>
  <si>
    <t xml:space="preserve">2) 대리점은 공급업자 제품의 전시공간에서 공급업자의 제품이 아닌 제3자의 제품을 취급하거나 진열 또는 판매하는 행위 등을 할 수 없다. </t>
  </si>
  <si>
    <t>해당 조항이 독점 대리점 계약을 의미하는 것은 아니다.</t>
  </si>
  <si>
    <t>3) 대리점은 공급업자의 사전 서면 동의 없이 소매업자 또는 재판매업자에게 상품 판매를 위한 영업을 할 수 없으며,</t>
  </si>
  <si>
    <t>대리점은 통상의 주의의무를 다하여 고객이 상품의 최종소비자임을 확인하여야 한다.</t>
  </si>
  <si>
    <t xml:space="preserve">4) 전항의 최종소비자라 함은 상품을 소비생활을 위해 사용하거나 이용하는 자를 말하며, 공급엄자가 제공하는 상품을 전매 또는 </t>
  </si>
  <si>
    <t>판매하는 자는 최종소비자에 포함되지 않는다.</t>
  </si>
  <si>
    <t>제4조 2 [B2B 판매에 관한 특칙]</t>
  </si>
  <si>
    <t>대리점이 법인 고객을 대상으로 할인 판매를 진행하거나 대리점이 직접 계약의 당사자가 될 필요가 있는 경우 대리점은</t>
  </si>
  <si>
    <t>공급업자에게 해당 사실을 사전에 통지하고 거래조건 등에 관하여 협의를 하여야 한다.</t>
  </si>
  <si>
    <t>제5조 [대리점 개설 및 거래보증금의 제공]</t>
  </si>
  <si>
    <t>1) 공급업자는 대리점 계약의 체결 시 대리점의 이익이 반영될 수 있도록 노력하여야 한다.</t>
  </si>
  <si>
    <t>2) 공급업자는 대리점거래에서 발생하는 대리점의 채무에 대한 거래보증금을 대리점에게 요구할 수 있다.</t>
  </si>
  <si>
    <t>이 경우 거래보증금은 이천만원으로 한다.</t>
  </si>
  <si>
    <t>3) 제2항에 의한 요구를 받은 대리점은 현금으로 거래보증금을 제공한다.</t>
  </si>
  <si>
    <t>4) 대리점은 본 계약 체결일로부터 7일 이내에 공급업자에게 거래보증금을 제공하여야 한다.</t>
  </si>
  <si>
    <t>5) 대리점이 공급업자에게 부담해야 하는 채무가 이행되지 않는 경우, 공급업자는 그 채무를 대리점이 제공한 거래보증금에서</t>
  </si>
  <si>
    <t>공제할 수 있다. 대리점의 채무불이행으로 거래보증금이 전액 공제된 경우, 대리점은 공급업자의 요청에 따라 계약상</t>
  </si>
  <si>
    <t xml:space="preserve">  거래보증금을 다시 제공하여야 한다.</t>
  </si>
  <si>
    <t xml:space="preserve">  6) 팝업매장 운영의 경우 기존 대리점의 거래보증금과 합산 운영할 수 있다. 단, 팝업매장은 운영기간이 2개월 이하인 매장을 의미하며, </t>
  </si>
  <si>
    <t xml:space="preserve">  2개월 초과기간 운영 시 3개월 7일 이내에 공급업자에게 거래보증금을 제공하여야 한다.</t>
  </si>
  <si>
    <t>제6조 [위탁업무]</t>
  </si>
  <si>
    <t>1)  공급업자는 대리점에게 아래 각 호의 업무를 대리점에게 위탁한다.</t>
  </si>
  <si>
    <t>① 공급업자가 공급하는 상품의 판매</t>
  </si>
  <si>
    <t>② 공급업자가 공급하는 상품의 사후관리를 위한 고객 상담 및 접수 대행</t>
  </si>
  <si>
    <t>③ 위탁업무에 필요한 범위 내에서의 각종 상표, 도안 등의 사용 및 전시</t>
  </si>
  <si>
    <t>2) 공급업자는 상품의 판매가격을 지정하고 대리점은 공급업자가 지정한 판매가격으로 상품을 판매하여야 한다.</t>
  </si>
  <si>
    <t>3) 대리점은 공급업자의 사전 서면동의 없이 제1항의 권리, 기타 본 계약상의 권리·의무를 제3자에게 양도하거나 담보로</t>
  </si>
  <si>
    <t xml:space="preserve">   제공할 수 없다.</t>
  </si>
  <si>
    <t>4) 대리점은 본 계약과 관련하여 공급업자의 사전 서면동의 없이 제3자가 공급하는 상품 및 부품에 대한 영업행위를 할 수 없다.</t>
  </si>
  <si>
    <t>5) 대리점은 위탁업무를 수행함에 있어 공급업자의 브랜드 이미지 제고 및 전시 전문화를 위해 공급업자가 정하여 배포한</t>
  </si>
  <si>
    <t>브랜드 CI 및 SI 규정 등을 철저히 준수하여야 한다.</t>
  </si>
  <si>
    <t>6) 대리점은 공급업자가 사전에 공지한 상품과 관련된 설명, 주의사항 등을 고객에게 충분히 고지하고 설명하여야 한다.</t>
  </si>
  <si>
    <t>제7조 [상품의 발주와 공급]</t>
  </si>
  <si>
    <t>1) 상품의 발주와 수수료의 지급, 반품청구 등은 전산시스템 등 적정한 방식을 통하여 투명하게 이루어져야 하며,</t>
  </si>
  <si>
    <t>발주・청구 내용 등과 관련하여 공급업자는 합리적 사유 없이 이를 일방적으로 수정하거나 대리점에 대한 부당한</t>
  </si>
  <si>
    <t>수정 요구를 하지 않는다.</t>
  </si>
  <si>
    <t>2) 공급업자는 다음 각 호 또는 기타 불가항력적인 사유로 대리점이 주문한 물량만큼 상품을 공급할 수 없는</t>
  </si>
  <si>
    <t>경우를 제외하고는, 대리점이 주문한 물량을 적시에 공급하여야 한다.</t>
  </si>
  <si>
    <t>① 폭풍, 지진과 같은 천재지변이 발생한 경우</t>
  </si>
  <si>
    <t>② 전쟁, 폭동, 전염병, 계엄령에 준하는 국가 긴급사태 발생시</t>
  </si>
  <si>
    <t>③ 생산 공장 또는 그 외 하도급 업체 및 부품 외주업체의 노동쟁의 발생, 태업, 파업, 휴업, 기타 사유로</t>
  </si>
  <si>
    <t>생산이 중단되거나 원활하지 못한 경우</t>
  </si>
  <si>
    <t>3) 대리점이 매장 전시 상품을 주문하는 경우 해당 전시 상품의 비용에 관하여는 공급업자와 별도 서면 협의를 통해 분담하기로</t>
  </si>
  <si>
    <t>한다.</t>
  </si>
  <si>
    <t xml:space="preserve"> </t>
  </si>
  <si>
    <t>제8조 [대금의 수금수단 및 수금시기]</t>
  </si>
  <si>
    <t>1) 대리점은 상품대금을 해당 고객과의 계약상 납기일이 도래하기 3 영업일 (토요일, 일요일, 공휴일 제외) 전까지 수금하여야 한다.</t>
  </si>
  <si>
    <t>2) 전항의 수금은 공급업자가 지정한 카드단말기 또는 계좌로 이뤄져야 하며, 대리점은 고객의 현금영수증 및 세금계산서 발행 등의 요청에</t>
  </si>
  <si>
    <t>성실히 임하여야 한다.</t>
  </si>
  <si>
    <t>3) 대리점이 부득이한 사정으로 제1항 및 제2항에서 정한 납기일 및 방법으로 수금이 이뤄지지 못할 경우, 즉시 공급업자에게</t>
  </si>
  <si>
    <t>통보 후 협의하여야 하며, 사전 협의없이 대리점의 과실로 발생된 손실은 대리점이 부담한다.</t>
  </si>
  <si>
    <t>4) 대리점은 취소, 품목 변경 등 주문내역에 변동이 생겨 고객에게 수금한 일부 또는 전부를 환불하여야 할 경우,</t>
  </si>
  <si>
    <t>전산시스템을 통하여 공급업자에게 요청하여야 한다.</t>
  </si>
  <si>
    <t>5) 대리점은 공급업자의 사전 서면 동의 없이 고객의 상품대금을 대신 납부하는 행위를 하여서는 아니 된다.</t>
  </si>
  <si>
    <t>제9조 [판매수수료의 지급]</t>
  </si>
  <si>
    <t xml:space="preserve">1) 대리점이 고객에게 본 계약상 의무를 모두 이행하고 고객이 공급업자에게 상품을 전액 입금 완료한 경우, </t>
  </si>
  <si>
    <t>공급업자는 대리점과 별도 약정한 판매수수료를 지급기준에 따라 대리점에게 판매수수료를 지급한다.</t>
  </si>
  <si>
    <t>2) 고객이 상품대금을 전액 입금하지 않은 경우 공급업자는 고객 명의의 입금이 확인될 때까지 판매수수료의 지급을 보류할 수 있으며,</t>
  </si>
  <si>
    <t>이 경우 전액 입금 완료 여부는 1개의 개별 계약을 기준으로 판단한다. 대리점은 고객과의 계약을 임의로 여러 개의 계약으로 분리할 수 없다.</t>
  </si>
  <si>
    <t>3) 제1항의 판매수수료는 매월 1일부터 말일까지 출고분에 대하여 다음달 15일까지 지급함을 원칙으로 한다.</t>
  </si>
  <si>
    <t>4) 계약이 종료되는 2027년 3월의 판매수수료는 2027년 4월 15일까지 지급하기로 한다.</t>
  </si>
  <si>
    <t>계약종료월 확인</t>
  </si>
  <si>
    <t>제10조 [판매수수료의 상계]</t>
  </si>
  <si>
    <t>공급업자는 다음 각 호의 경우, 대리점에게 지급할 판매수수료와 대리점에 대한 채권을 상계처리 할 수 있다.</t>
  </si>
  <si>
    <t>① 대리점 또는 대리점 직원이 계약상의 의무를 위반하거나 게을리함으로써 공급업자에게 손해가 발생한 경우</t>
  </si>
  <si>
    <t>② 대리점에 대한 공급업자의 채권이 발생한 경우</t>
  </si>
  <si>
    <t>제11조 [시설과 인력의 확보]</t>
  </si>
  <si>
    <t>1) 대리점은 상품 판매에 필요한 매장, 주차시설과 인원을 공급업자가 정하는 기준에 부합하도록 운영하여야 한다.</t>
  </si>
  <si>
    <t>이 경우 그 기준은 사전에 대리점에게 공개되어야 한다.</t>
  </si>
  <si>
    <t>2) 대리점은 인원관리와 관련하여 다음 각 호의 내용을 준수하여야 한다.</t>
  </si>
  <si>
    <t>① 대리점은 공급업자의 전산시스템에 복수의 계정 등록을 원하는 경우, 대리점은 등록 인원이 대리점 직원임을 증빙하는 서류를</t>
  </si>
  <si>
    <t>공급업자에게 제출하여야 한다.</t>
  </si>
  <si>
    <t>② 제 1호에 따라 등록된 내용의 변경 (직원의 퇴사 등)이 있는 경우 전산시스템에 변경 사실이 반영될 수 있도록 대리점은</t>
  </si>
  <si>
    <t>공급업자에게 사전에 이를 고지하여야 한다.</t>
  </si>
  <si>
    <t>③ 대리점은 인원 채용과 관련하여 공금 사고 또는 판매질서 문란 행위 등의 경력이 있는 자로서 대리점 인원으로 근무하기가</t>
  </si>
  <si>
    <t>부적합하다고 판단되는 자를 채용하여서는 아니 된다.</t>
  </si>
  <si>
    <t>④ 대리점은 주요 영업활동 지역의 시장 상황, 대리점 운영 능력, 사무실 환경 등을 고려하여 적정 수준의 인원을 채용하도록</t>
  </si>
  <si>
    <t xml:space="preserve">       노력하여야 한다.</t>
  </si>
  <si>
    <t xml:space="preserve">    ⑤ 대리점은 채용한 인원에게 본 계약의 내용을 안내하고 이를 준수하도록 관리하여야 한다.</t>
  </si>
  <si>
    <t>제12조 [반품 등]</t>
  </si>
  <si>
    <t>1) 고객이 판매계약서상 정당한 반품을 요청할 시 대리점은 공급업자에게 전산시스템을 통하여 반품 요청하여야 하며, 공급업자는</t>
  </si>
  <si>
    <t>판매계약서의 반품 규정에 따라 진행하여야 한다.</t>
  </si>
  <si>
    <t>2) 반품 진행 시 발생하는 반품 관련 비용은 반품에 귀책이 있는 당사자가 부담하고, 반품 관련 비용은 반품 회수에 소요되는</t>
  </si>
  <si>
    <t xml:space="preserve"> 시공, 물류 등 직접비와 고객 보상 등의 간접비를 포함한 금액으로 한다.</t>
  </si>
  <si>
    <t>제13조 [지원금]</t>
  </si>
  <si>
    <t>1) 공급업자는 상품 판매 활성화 등의 목적으로 대리점에 지원금을 지급할 수 있다.</t>
  </si>
  <si>
    <t>2) 전항의 지원금의 지급에 관한 사항은 별도 사전 서면 합의를 통해 정하기로 한다.</t>
  </si>
  <si>
    <t>제14조 [광고 및 판촉활동]</t>
  </si>
  <si>
    <t>1) 공급업자와 대리점은 상품 판매의 촉진을 위해 상대방에게 광고 및 판촉 행사의 시행을 제안할 수 있으며, 사전 서면 합의 하에</t>
  </si>
  <si>
    <t>진행할 수 있다.</t>
  </si>
  <si>
    <t>2) 광고 및 판촉 행사의 비용은 광고 및 판촉 행사의 내용, 소요 인력 및 경비, 광고 및 판촉 행사로 증대된 매출액 등을 고려하여</t>
  </si>
  <si>
    <t>공급업자와 대리점이 합리적인 수준에서 사전 서면 합의를 통해 분담한다.</t>
  </si>
  <si>
    <t xml:space="preserve">  3) 대리점이 단독 또는 제3자와 함께 공급업자의 상호, 상표 등을 광고하거나 공급업자의 저작물 등 지식재산권 등을</t>
  </si>
  <si>
    <t xml:space="preserve">  사용하는 경우 공급업자의 사전 동의를 얻어야 한다.</t>
  </si>
  <si>
    <t>4) 대리점이 공급업자의 상호, 상표 등을 이용한 모든 인쇄물 및 판촉물을 제작하는 경우 공급업자의 사전 동의를</t>
  </si>
  <si>
    <t xml:space="preserve">  얻어야 한다.</t>
  </si>
  <si>
    <t xml:space="preserve">  5) 본 계약상 또는 본 계약과 관련하여 공급업자가 제작, 배포한 판촉물, 교육 및 세미나 자료, 제품사진, 영업자료,</t>
  </si>
  <si>
    <t xml:space="preserve">  공급업자의 상호 또는 상표가 사용된 제작물 등의 지식재산권은 당사자들 사이에 특별한 약정이 없는 한 공급업자의</t>
  </si>
  <si>
    <t xml:space="preserve">  소유로 한다</t>
  </si>
  <si>
    <t>제15조 [인테리어 및 전시품 등]</t>
  </si>
  <si>
    <t xml:space="preserve">1) 대리점은 공급업자의 브랜드 이미지 제고 및 전시 전문화를 위해 공급업자가 정하여 배포한 브랜드 CI 및 SI 규정과 설계도서의 </t>
  </si>
  <si>
    <t>내용에 따라 대리점 인테리어를 시공해야한다.</t>
  </si>
  <si>
    <t xml:space="preserve">2) 공급업자는 인테리어 시공 품질을 담보하기 위하여 대리점에 시공업체를 제시할 수 있다. 단, 공급업자는 시방서와 각 시공업체 </t>
  </si>
  <si>
    <t>시공 견적 등 관련 정보를 대리점에 제공하여야 한다.</t>
  </si>
  <si>
    <t>3) 대리점은 제 1항의 견적이 지나치게 높은 가격으로 산정되었다고 판단되는 경우, 공급업자에게 시공업체를 다시 제시하여</t>
  </si>
  <si>
    <t>줄 것을 요청할 수 있다.</t>
  </si>
  <si>
    <t>4) 대리점은 제 2항에 따른 요청에 공급업자가 응하지 않을 경우, 시공업체를 자체적으로 선정할 수 있다. 이 경우 대리점은</t>
  </si>
  <si>
    <t>공급업자가 제시한 수준의 시공 품질을 확보하여야 한다.</t>
  </si>
  <si>
    <t xml:space="preserve">5) 브랜드 이미지 제고 및 전시 전문화를 위해 공급업자는 노후 또는 파손으로 인테리어 및 전시품 등이 훼손되는 등 특별한 사정이 </t>
  </si>
  <si>
    <t>없는 한 마지막 인테리어 시공 시점 또는 마지막 전시품 공급일로부터 4년이 경과한 대리점에 한하여 인테리어의 재시공 및 전시품,</t>
  </si>
  <si>
    <t>간판, 사인물, 기타 전시용품 등의 교체를 요청할 수 있으며, 이 경우에도 그 필요성을 구체적으로 제시하여야 한다.</t>
  </si>
  <si>
    <t xml:space="preserve">6) 공급업자가 제 5항에 따라 인테리어의 재시공 및 전시품, 간판, 사인물, 기타 전시용품 등의 교체를 요구할 경우, 해당 비용은 </t>
  </si>
  <si>
    <t>공급업자와 대리점이 사전 서면 합의를 통해 합리적인 수준에서 분담하기로 한다.</t>
  </si>
  <si>
    <t>제16조 [교육]</t>
  </si>
  <si>
    <t>공급업자는 대리점의 영업행위를 지원하기 위하여 대리점과 대리점 인원을 상대로 판촉활동, 채권관리, 고객관리,</t>
  </si>
  <si>
    <t>상품 등에 관한 각종 교육(간담회, 회의, 세미나, 설명회 포함)을 실시할 수 있다.</t>
  </si>
  <si>
    <t>제17조 [대리점 개설 등]</t>
  </si>
  <si>
    <t>1) 대리점은 아래 각 호의 경우 공급업자에 통지 후 공급업자와 대리점의 매장에 관해 사전 합의하여야 한다.</t>
  </si>
  <si>
    <t xml:space="preserve">  ① 공급업자와 신규 대리점 계약을 체결하는 경우(매장 신규 오픈 등)</t>
  </si>
  <si>
    <t xml:space="preserve">  ② 기존 영업장의 위치를 이전하는 경우(매장 이전 등)</t>
  </si>
  <si>
    <t xml:space="preserve">  ③ 영업장의 내/외부 인테리어 및 익스테리어를 변경하는 경우(매장 리뉴얼 등)</t>
  </si>
  <si>
    <t>제18조 [고객의 권익 보호]</t>
  </si>
  <si>
    <t>1) 대리점은 고객과의 판매계약 체결 전 또는 체결 시 관계법령 및 공급업자가 규정하는 사항과 고객의 권익보호를 위해</t>
  </si>
  <si>
    <t xml:space="preserve"> 다음 각 호의 사항을 포함한 중요내용을 고객에게 명확하게 설명·고지하여야 한다.</t>
  </si>
  <si>
    <t>① 상품 대금의 내역과 그 지급방법</t>
  </si>
  <si>
    <t>② 상품 판매계약서의 주요내용 및 관계법령이 정하는 내용</t>
  </si>
  <si>
    <t>③ 개인정보 수집∙이용∙제공 동의 및 활용에 관한 내용</t>
  </si>
  <si>
    <t>④ 본 계약 제6조 제6항의 내용에 따라 공급업자가 대리점에게 고지한 내용</t>
  </si>
  <si>
    <t>2) 대리점은 ‘개인정보 보호법’, ‘정보통신망 이용촉진 및 정보보호 등에 관한 법률’, ‘신용정보의 이용 및 보호에</t>
  </si>
  <si>
    <t>관한 법률’ 등 관계 법령 및 공급업자의 개인정보 처리업무지침을 준수하여 개인정보를 수집ㆍ이용하여야 한다.</t>
  </si>
  <si>
    <t>3) 대리점은 판매과정에서 취득한 고객정보를 판매를 수행하는 목적으로만 사용하여야 하며, 계약기간 중에는 물론</t>
  </si>
  <si>
    <t>계약기간이 종료된 후라도 정당한 이유 없이 제3자에게 제공하거나 유출하여서는 아니 된다.</t>
  </si>
  <si>
    <t>제19조 [불공정거래행위 등의 금지]</t>
  </si>
  <si>
    <t>1) 공급업자는 대리점과 계약을 체결한 즉시 대리점거래 계약서를 대리점에게 서면 또는 전자문서로 제공하여야 한다.</t>
  </si>
  <si>
    <t>2) 공급업자는 자기의 거래상의 지위를 부당하게 이용하여 대리점이 구입할 의사가 없는 상품 또는 용역을 구입하도록</t>
  </si>
  <si>
    <t>강제하는 행위를 하여서는 아니 된다.</t>
  </si>
  <si>
    <t>3) 공급업자는 자기의 거래상의 지위를 부당하게 이용하여 대리점에게 자기를 위하여 금전·물품·용역, 그 밖의</t>
  </si>
  <si>
    <t>경제 상 이익을 제공하도록 강요하는 행위를 하여서는 아니 된다.</t>
  </si>
  <si>
    <t>4) 공급업자는 자기의 거래상의 지위를 부당하게 이용하여 공급하는 상품과 관련하여 대리점에 거래에 관한</t>
  </si>
  <si>
    <t>목표를 제시하고 이를 달성하지 못하는 경우 계약의 중도해지, 상품 공급의 중단 등 행위를 하여서는 아니 된다.</t>
  </si>
  <si>
    <t>5) 공급업자는 자기의 거래상의 지위를 부당하게 이용하여 계약기간 중 대리점에게 불이익이 되도록 거래조건을</t>
  </si>
  <si>
    <t>설정 또는 변경하거나 그 이행과정에서 불이익을 주는 행위를 하여서는 아니 된다.</t>
  </si>
  <si>
    <t>6) 공급업자는 자기의 거래상의 지위를 부당하게 이용하여 대리점의 경영활동을 간섭하는 행위를 하여서는 아니 된다.</t>
  </si>
  <si>
    <t>7) 공급업자는 자기의 거래상의 지위를 부당하게 이용하여 대리점이 주문한 제품의 종류나 수량 등 주문내역의</t>
  </si>
  <si>
    <t>정당한 확인요청에 대하여 이를 거부 또는 회피하는 행위를 하여서는 아니 된다.</t>
  </si>
  <si>
    <t>8) 공급업자는 대리점이 분쟁조정을 신청하거나 공정거래위원회에 대한 신고 내지 조사 협조한 행위를 이유로 거래의 정지 또는</t>
  </si>
  <si>
    <t>물량의 축소, 그 밖에 불이익을 주는 행위를 하여서는 아니 된다.</t>
  </si>
  <si>
    <t>9) 공급업자는 대리점이 대리점단체를 설립하고자 하는 행위를 방해하거나, 대리점단체 설립 또는 가입을 이유로</t>
  </si>
  <si>
    <t>대리점에게 불이익을 주어서는 아니 된다.</t>
  </si>
  <si>
    <t>10) 공급업자는 대리점에게 허위 과장의 정보를 제공하여서는 아니 된다.</t>
  </si>
  <si>
    <t>11) 대리점이 상호 합의되지 않은 영업행위 및 판매촉진 행위를 하여 다른 대리점 및 공급업자의 유통 질서를 심각하게 훼손하여서는</t>
  </si>
  <si>
    <t>아니 된다.</t>
  </si>
  <si>
    <t>12) 대리점은 공급업자의 상품에 임의로 다른 상품을 결합하여 판매하거나 공급업자의 디자인권 등 지식재산권을 침해하는 방법으로</t>
  </si>
  <si>
    <t>상품을 판매하여서는 아니된다.</t>
  </si>
  <si>
    <t>제20조 [영업양도 등]</t>
  </si>
  <si>
    <t>1) 대리점은 공급업자의 사전 동의 없이 이 계약에 기초한 권리・의무의 전부 또는 일부를 제3자에게 양도할 수 없다.</t>
  </si>
  <si>
    <t>단, 금전채권의 경우에는 공급업자에 대한 사전 통지 후 제3자에게 양도할 수 있다.</t>
  </si>
  <si>
    <t>2) 영업양수인은 대리점의 공급업자에 대한 권리와 의무를 승계한다.</t>
  </si>
  <si>
    <t>제21조 [통지의무]</t>
  </si>
  <si>
    <t>대리점은 대표자의 변경 등 경영상 중요한 내용의 변경이 있는 경우 즉시 공급업자에게 통지하여야 한다.</t>
  </si>
  <si>
    <t>제22조 [계약해지]</t>
  </si>
  <si>
    <t>1) 아래의 각 호의 사유가 발생하는 경우, 공급업자 또는 대리점은 상대방에 대한 통지로 이 계약을 해지할 수 있다.</t>
  </si>
  <si>
    <t>① 공급업자 또는 대리점이 발행한 어음·수표가 지급거절 되거나, 공급업자 또는 대리점에 대한 회생·파산</t>
  </si>
  <si>
    <t>절차가 개시된 경우</t>
  </si>
  <si>
    <t>② 공급업자 또는 대리점의 주요재산(이 계약에 따라 공급업자가 대리점에 대하여 가지는 공급대금에 대한 채권을</t>
  </si>
  <si>
    <t>포함한다)에 대하여 강제경매 등이 실행되어 더 이상의 이 계약 이행이 곤란하게 된 경우</t>
  </si>
  <si>
    <t>③ 공급업자 또는 대리점이 감독관청으로부터 영업취소 등의 처분을 받은 경우</t>
  </si>
  <si>
    <t>④ 공급업자가 공급한 상품이 관계법령에 저촉되거나, 공급업자가 라이선스권자와 체결한 라이선스계약이 종료되어</t>
  </si>
  <si>
    <t>해당 상품의 공급 또는 판매가 불가능하게 된 경우</t>
  </si>
  <si>
    <t>⑤ 대리점 또는 공급업자가 거래 물품의 제조 및 유통과 관련된 법령을 위반하여 계약의 유지가 어려운 경우</t>
  </si>
  <si>
    <t>⑥ 기타의 사유로 인하여 본 계약 및 개별계약을 이행할 수 없는 사실이 객관적으로 명백한 경우</t>
  </si>
  <si>
    <t>⑦ 매장의 임대차계약이 종료되어 정상적인 매장 운영이 불가능할 경우</t>
  </si>
  <si>
    <t>⑧ 공급업자 또는 대리점 및 그 임직원의 법 위반행위 또는 사회 상규에 반하는 행위로 인해 대리점 영업에 상당한 영향을</t>
  </si>
  <si>
    <t>끼치는 경우</t>
  </si>
  <si>
    <t>⑨ 공급업자의 행위가 제19조 각 항에 해당하는 불공정행위에 해당하는 경우</t>
  </si>
  <si>
    <t>⑩ 본조 제 2항에 따라 공급업자 또는 대리점이 상대방에게 계약 내용 위반에 대한 시정을 요구하여 시정이 이루어졌음에도 이후</t>
  </si>
  <si>
    <t>상대방이 동일한 계약 내용을 다시 위반하는 경우</t>
  </si>
  <si>
    <t>2) 제1항에서 정한 사유 외에, 공급업자 또는 대리점은 상대방이 이 계약의 내용을 위반한 경우, 30일 이상의 유예기간을 두고</t>
  </si>
  <si>
    <t>계약의 위반 사실을 구체적으로 빍히고 이를 시정하지 아니하면 계약을 해지한다는 사실을 서면으로 1회 이상 통지하여야 하며,</t>
  </si>
  <si>
    <t>30일 내에 시정이 이루어지지 않은 경우 계약을 해지할 수 있다.</t>
  </si>
  <si>
    <t>3) 이 조에 의하여 계약이 해지될 경우, 계약 해지에 관해 책임 있는 당사자는 상대방에 대하여 계약 해지로 인한 손해를 배상한다.</t>
  </si>
  <si>
    <t>제23조 [계약의 해지 및 종료의 효력]</t>
  </si>
  <si>
    <t>1) 본 계약이 해지 및 종료되면 대리점은 공급업자와의 거래로 인한 대리점의 채무를 즉시 변제하여야 하고, 대리점이 이를</t>
  </si>
  <si>
    <t>지체하는 경우, 공급업자는 대리점이 본 계약 제5조에 따라 예치한 거래보증금에서 비용, 연체이자 순으로 대리점의 채무 변제에</t>
  </si>
  <si>
    <t>충당할 수 있다.</t>
  </si>
  <si>
    <t>2) 본 계약이 해지 및 종료되면 대리점은 공급업자의 유통망 등으로 오인케 하는 행위를 할 수 없으며, 이를 위해 다음의 각 호의</t>
  </si>
  <si>
    <t>내용을 이행하여야 한다.</t>
  </si>
  <si>
    <t>① 공급업자의 유통망으로 오인케 하는 상호 사용 중지</t>
  </si>
  <si>
    <t>② 공급업자의 유통망으로 소비자 및 제3자에게 광고 또는 영업하는 행위 중지</t>
  </si>
  <si>
    <t>③ 공급업자의 유통망임을 나타내는 각종 사인물 (외부 간판 및 내부 게시물 등)을 대리점의 비용으로 철거</t>
  </si>
  <si>
    <t>④ 공급업자의 지식재산권이 이용된 일체의 저작물 사용 중지 및 반납</t>
  </si>
  <si>
    <t>3) 본 계약이 해지 및 종료된 후 공급업자는 대리점이 채무의 이행을 하지 않는 경우 해당 채무금액을 거래보증금에서 공제하고,</t>
  </si>
  <si>
    <t>대리점의 거래보증금 잔액을 반환한다.</t>
  </si>
  <si>
    <t>제24조 [손해배상/지연손해금]</t>
  </si>
  <si>
    <t xml:space="preserve">1) 공급업자와 대리점은 이 계약을 위반함으로써 상대방에게 손해를 입힌 때에는 배상책임을 진다.  </t>
  </si>
  <si>
    <t>2) 공급업자와 대리점 간의 거래가 종료 되었을 경우 대리점은 공급업자와 정산 후 지체 없이 공급업자에 대한 상품대금, 장비대금</t>
  </si>
  <si>
    <t>등 일체의 채무를 변제하여야 하며, 대리점이 이러한 변제의무를 지체 하거나 별도 정해진 기간 내 미 이행 시 정산일 익일부터</t>
  </si>
  <si>
    <t>(별도 공급업자와 정해진 기간이 있다면 그러한 지정기일 익일부터) 완제일까지 상법에 의한 지연손해금을 지급하기로 한다.</t>
  </si>
  <si>
    <t>제25조 [계약기간]</t>
  </si>
  <si>
    <t>*1년 계약 시</t>
  </si>
  <si>
    <t>1) 본 계약의 계약기간은 다음과 같다.</t>
  </si>
  <si>
    <t>1) 본 계약의 계약기간은 계약을 체결한 날로부터 12개월로 한다.</t>
  </si>
  <si>
    <t xml:space="preserve">   (2026년 5월 1일 ~ 2027년 3월 31일)</t>
  </si>
  <si>
    <t>2) 본 계약은 계약기간 만료 시 자동 종료된다.</t>
  </si>
  <si>
    <t>*계약기간 3/31 이전일 시</t>
  </si>
  <si>
    <t>제26조 [분쟁해결 및 재판관할]</t>
  </si>
  <si>
    <t>1) 이 계약에서 정하지 아니한 사항 또는 이 계약의 내용에 대하여 공급업자와 대리점간 분쟁이 발생한 경우,</t>
  </si>
  <si>
    <t>공급업자와 대리점의 합의된 의사에 따른다. 공급업자와 대리점사이에 계약 해석과 관련한 합의가 이루어지지</t>
  </si>
  <si>
    <t>않은 경우 일반 상관례 및 관련 법령에 따른다.</t>
  </si>
  <si>
    <t>2) 제1항에 의해서도 이 계약과 관련한 분쟁이 해결되지 아니한 경우에는 「대리점거래의 공정화에 관한 법률」제19조 제1항에 따라</t>
  </si>
  <si>
    <t>공정거래조정원 또는 시,도 대리점분쟁조정협의회에 조정을 신처할 수 있다. 이 경우에 공급업자와 대리점은 조정절차에 성실하게</t>
  </si>
  <si>
    <t>임하며, 원활한 분쟁 해결을 위해 노력한다.</t>
  </si>
  <si>
    <t>3) 공급업자와 대리점이 제2항에 따른 조정을 신청하지 아니하는 경우, 이 계약에 관한 분쟁의 해결은 통상의</t>
  </si>
  <si>
    <t>민사재판에 의하며, 관할은 민사소송법에 따른다.</t>
  </si>
  <si>
    <t>제27조 [계약의 효력]</t>
  </si>
  <si>
    <t>1) 공급업자와 대리점은 이 계약을 체결하기 전에 충분한 협의를 거쳤고, 계약 내용을 모두 숙지하였으며,</t>
  </si>
  <si>
    <t>이 계약을 증명하기 위하여 전자계약으로 서명 또는 기명날인하여 각각 1부씩 보관한다.</t>
  </si>
  <si>
    <t>2) 이 계약서에 기재된 내용만이 공급업자와 대리점 사이에 합의된 내용이며, 이 이외의 내용에 대한 당사자 간의</t>
  </si>
  <si>
    <t xml:space="preserve">그 어떠한 구두 합의도 당사자를 구속하지 아니한다. </t>
  </si>
  <si>
    <t>3) 이 계약서의 내용은 공급업자와 대리점 사이의 서면 합의에 의해서만 변경되거나 수정될 수 있으며,</t>
  </si>
  <si>
    <t>그 변경 및 수정은 공급업자와 대리점이 해당 서면에 서명 또는 기명날인함과 동시에 그 효력을 발생한다.</t>
  </si>
  <si>
    <t>26년 추가</t>
  </si>
  <si>
    <t>위탁판매대리점 판매수수료 및 지원금 약정서</t>
  </si>
  <si>
    <t>다음과 같이 판매수수료 및 지원금 약정을 체결한다.</t>
  </si>
  <si>
    <t xml:space="preserve">본 약정은 공급업자가 임차료 및 쇼핑몰의 입점수수료를 부담하는 매장과 관련하여 공급자와 대리점 간의 상호 간 이익을 도모하기 위해 </t>
  </si>
  <si>
    <t xml:space="preserve">일룸 위탁판매대리점 계약서 (이하 "본 계약”이라 함)에 따른 계약조건(제4조, 제5조, 제6조, 제7조, 제9조등)을 추가 및 보완함으로써 </t>
  </si>
  <si>
    <t>상호 간의 신의에 따라 계약을 성실히 이행할 수 있도록 그 내용을 구체적으로 정하는 것을 목적으로 한다.</t>
  </si>
  <si>
    <t>제2조 [공급품목]</t>
  </si>
  <si>
    <t>1) 공급업자가 고객에게 판매하는 상품의 유형은 다음과 같다.</t>
  </si>
  <si>
    <t>제품유형</t>
  </si>
  <si>
    <t>제품 특성 등</t>
  </si>
  <si>
    <t>비고</t>
  </si>
  <si>
    <t>A 유형</t>
  </si>
  <si>
    <t>- 오프라인 매장, 온라인 공식몰을 주 판매채널로 활용
- 상대적으로 구매에 있어서 가격민감도가 낮은 제품
- 제품의 가치에 따른 적정 가격 전략</t>
  </si>
  <si>
    <t>주요채널 
지향 제품</t>
  </si>
  <si>
    <t>B 유형</t>
  </si>
  <si>
    <t>- 온라인 외부몰, 입주시장, 특화매장 등 다양한 경로의 판매채널을 목표
- 상대적으로 구매에 있어서의 가격민감도가 높은 제품
- 고객접점 확보와 대량 판매를 목적으로 하는 가격 전략</t>
  </si>
  <si>
    <t>다채널 
지향 제품</t>
  </si>
  <si>
    <t>2) 공급업자는 전항의 상품 유형별 세부 품목 내역 및 소비자가격을 대리점이 확인할 수 있도록 공급업자의</t>
  </si>
  <si>
    <t xml:space="preserve"> 전산주문시스템 (https://www.connectplus.co.kr/pos/index.html / 이하 “커넥트플러스")에 사전에 공지한다.</t>
  </si>
  <si>
    <t>제3조 [판매수수료]</t>
  </si>
  <si>
    <t>1) 판매수수료는 아래와 같이 누진제 수수료율을 적용하기로 한다.</t>
  </si>
  <si>
    <t xml:space="preserve">                                                                                                     (단위 : 원, VAT별도)</t>
  </si>
  <si>
    <t>구분</t>
  </si>
  <si>
    <t>매출구간</t>
  </si>
  <si>
    <t>150,000,000 이하</t>
  </si>
  <si>
    <t>판매수수료율</t>
  </si>
  <si>
    <t>2) 공급업자와 대리점은 판촉행사 등 필요한 경우 별도 서면 합의에 따라 별도의 판매수수료를 정할 수 있다.</t>
  </si>
  <si>
    <t>제4조 [판매수수료 지급]</t>
  </si>
  <si>
    <t>1) 공급업자는 매월 1일부터 말일까지의 위탁판매금액을 기준으로 약정된 판매수수료를 대리점에게 익월 15일까지 지급하며,</t>
  </si>
  <si>
    <t xml:space="preserve"> 백원 단위 이하는 절사한다.</t>
  </si>
  <si>
    <t xml:space="preserve">2) 공급업자는 대리점에게 지급할 수수료를 공급업자에 대한 대리점의 채무와 상계할 수 있다. </t>
  </si>
  <si>
    <t>26년 수정</t>
  </si>
  <si>
    <t xml:space="preserve"> 다만, 추가 배송비, 추가 시공비, 사다리차 비용, 재배송비 기타 대리점의 주문접수, 정보전달 또는 현장확인 과정에서 발생한 비용은 </t>
  </si>
  <si>
    <t xml:space="preserve"> 대리점의 귀책사유가 있는 경우에 한하여 상계할 수 있다. 이 경우 공급업자는 상계 전에 해당 비용의 발생원인, 상계예정 금액 및 산정근거를 </t>
  </si>
  <si>
    <t xml:space="preserve"> 대리점에게 서면으로 통지하여야 하며, 대리점이 통지를 받은 날부터 [7]일 이내에 이의를 제기한 경우에는 당사자 협의를 거쳐 확정된 범위에서 </t>
  </si>
  <si>
    <t xml:space="preserve"> 상계할 수 있다. 대리점이 위 기간 내 이의를 제기하지 아니한 경우에는 공급업자는 해당 금액을 수수료에서 상계할 수 있다. </t>
  </si>
  <si>
    <t>1) 본 계약 제 14조 제2항의 내용에 따라 공급업자와 대리점이 사전 합의를 통해 광고 및 판촉활동을 하는 경우, 공급업자는</t>
  </si>
  <si>
    <t xml:space="preserve"> 해당 광고 및 판촉활동 비용에 대해 합의된 범위 내에서 대리점에게 지원할 수 있다.</t>
  </si>
  <si>
    <t>2) 전 항의 광고 및 판촉활동의 구체적인 내용 및 지원금의 범위는 공급업자와 대리점간 별도 서면 합의를 통해 정하기로 한다.</t>
  </si>
  <si>
    <t>1) 공급업자는 상품 판매 활성화 등을 목적으로 대리점에게 아래와 같이 인센티브를 지급하기로 한다.</t>
  </si>
  <si>
    <t xml:space="preserve">                                                                                                                  (단위: 원,VAT별도)</t>
  </si>
  <si>
    <t>지급 인센티브</t>
  </si>
  <si>
    <t>+0.5%</t>
  </si>
  <si>
    <t>+1.0%</t>
  </si>
  <si>
    <t>+1.5%</t>
  </si>
  <si>
    <t>+2.0%</t>
  </si>
  <si>
    <t>100,000,000 * 0.5% + 200,000,000 * 1.0% + 50,000,000 * 1.5% = 3,250,000(원)</t>
  </si>
  <si>
    <t>2) 전항의 인센티브는 매월 1일부터 말일까지 발생하는 매출액을 기준으로 익월 15일까지 지급하며, 백원단위 이하는 절사한다.</t>
  </si>
  <si>
    <t>3) 공급업자는 대리점에게 지급할 인센티브를 공급업자에 대한 대리점의 채무와 상계 처리할 수 있다.</t>
  </si>
  <si>
    <t>4) 다음 각 호의 경우 공급업자는 매출 구간별 인센티브의 지급을 중지할 수 있다.</t>
  </si>
  <si>
    <t xml:space="preserve">   ① 대리점이 상호 합의되지 않은 영업행위 및 판매촉진 행위를 하여 다른 대리점 및 공급업자의 유통 질서를 심각하게 훼손하는 경우</t>
  </si>
  <si>
    <t xml:space="preserve">   ② 본 계약 제2조에 위배되는 영업행위 및 판매촉진 행위를 하여 다른 대리점 및 공급업자의 유통질서를 심각하게 훼손하는 경우</t>
  </si>
  <si>
    <t>1) 공급업자는 아래 내용에 따라 지원금을 지원하기로 한다.</t>
  </si>
  <si>
    <t>지원항목 </t>
  </si>
  <si>
    <t>구 분 </t>
  </si>
  <si>
    <t>지원금액 </t>
  </si>
  <si>
    <t>비 고 </t>
  </si>
  <si>
    <t>간판 </t>
  </si>
  <si>
    <t>누계위탁매출액 15억원 이상</t>
  </si>
  <si>
    <t>실비의 100% </t>
  </si>
  <si>
    <t>이전 시 1회 限 </t>
  </si>
  <si>
    <t>누계위탁매출액 15억원 미만</t>
  </si>
  <si>
    <t>실비의 50% </t>
  </si>
  <si>
    <t>(신규개설 시 실비의 100% 지원)</t>
  </si>
  <si>
    <t>전시품 </t>
  </si>
  <si>
    <t>- </t>
  </si>
  <si>
    <t>소비자가격의 50% </t>
  </si>
  <si>
    <t>본사와 협의한 품목 </t>
  </si>
  <si>
    <t>(개설/확장)</t>
  </si>
  <si>
    <t>전시품(신제품)</t>
  </si>
  <si>
    <t>LDK 신제품 일부 품목에 한함</t>
  </si>
  <si>
    <t>헤이븐매트리스/식탁(의자제외)/소파</t>
  </si>
  <si>
    <t>-</t>
  </si>
  <si>
    <t>소비자가격의 40% </t>
  </si>
  <si>
    <t>(사양변경/레이아웃/
외부활동)</t>
  </si>
  <si>
    <t>VP존 레이아웃 변경</t>
  </si>
  <si>
    <t>전략적 레이아웃 변경</t>
  </si>
  <si>
    <t>연 1회 본사 합의 건에 한함</t>
  </si>
  <si>
    <t>기타 전시용품 </t>
  </si>
  <si>
    <t>소품, 내부사인물, 세일즈툴킷</t>
  </si>
  <si>
    <t>대리점 신설 또는 이전 시 1회 限 </t>
  </si>
  <si>
    <t>판촉물, 기타 영업장구류 등</t>
  </si>
  <si>
    <t>소비자가의 50%</t>
  </si>
  <si>
    <t>*100평 이상의 매장에 공급업자가 
평당 20만원 이상 투자한 경우에 限</t>
  </si>
  <si>
    <t>* 그 외 지원항목 및 지원율은 별도 협의</t>
  </si>
  <si>
    <t>3) 공급업자는 다음 각 호의 사유가 발생하는 경우 본 조의 내용에 따라 대리점에 지원한 지원금을 회수할 수 있다.</t>
  </si>
  <si>
    <t xml:space="preserve">   ① 공급업자가 전시품 할인을 지원한 이후 대리점의 귀책 사유로 1년 이내에 공급업자와 대리점 간 본계약이 해지 또는 종료되는 경우</t>
  </si>
  <si>
    <t xml:space="preserve">   ② 대리점이 본 계약 제17조의 내용을 위반하여 사전 합의 없이 매장을 임의로 이전하거나 변경하는 경우 </t>
  </si>
  <si>
    <t xml:space="preserve">   ③ 대리점의 매장 관리 소홀 등으로 공급업자의 브랜드 이미지가 훼손되어, 공급업자에게 서면으로 1회 이상 경고를 받는 경우</t>
  </si>
  <si>
    <t xml:space="preserve">4) 전항에 따라 공급업자가 지원금을 회수하는 경우 공급업자는 대리점이 제공한 거래보증금에서 우선 공제하며, 부족분이 있는 경우 </t>
  </si>
  <si>
    <t xml:space="preserve">      대리점에게 지급할 채권에서 상계할 수 있다.</t>
  </si>
  <si>
    <t xml:space="preserve">1) 본 약정서는 본 계약의 부속서류로 특별한 사유가 없는 한 약정기간은 본 계약에 명시된 계약기간과 동일하게 적용한다. </t>
  </si>
  <si>
    <t>2) 공급업자와 대리점 간 본 계약이 해지 또는 종료된 경우, 본 약정도 동일하게 해지 또는 종료된다.</t>
  </si>
  <si>
    <t>3) 본 약정서에 정하지 않는 내용은 본 계약의 내용에 따른다.</t>
  </si>
  <si>
    <t>1) 본 약정의 내용 또는 명시되지 아니한 사항에 대하여 공급업자와 대리점 간의 이견이 있는 경우, 본 계약의 내용 및 취지에 따라</t>
  </si>
  <si>
    <t xml:space="preserve"> 공급업자와 대리점 간의 합의된 의한 합리적인 해석을 우선하고, 합의가 이루어지지 않은 경우, 일반 상관레 및 관련 법령에 따른다.</t>
  </si>
  <si>
    <t>2) 제1항에 의해서도 본 약정과 관련한 분쟁이 해결되지 아니한 경우에는 본 계약 제25조 [분쟁해결 및 재판관할]의 내용에 따라 해결한다.</t>
  </si>
  <si>
    <t>[별첨1] 매장 운영 시 발생 비용 분담</t>
  </si>
  <si>
    <t>공급업자와 "대리점은 위탁판매 대리점 계약 및 본 약정의 이행을 위해 매장 운영 시 발생되는 비용에 대한</t>
  </si>
  <si>
    <t>분담을 아래와 같이 하기로 상호 합의한다.</t>
  </si>
  <si>
    <t>대분류</t>
  </si>
  <si>
    <t>중분류</t>
  </si>
  <si>
    <t>공급업자</t>
  </si>
  <si>
    <t>대리점</t>
  </si>
  <si>
    <t>기준</t>
  </si>
  <si>
    <t>인테리어</t>
  </si>
  <si>
    <t>인테리어(내부공사)</t>
  </si>
  <si>
    <t>○</t>
  </si>
  <si>
    <t>익스테리어(외부파사드)</t>
  </si>
  <si>
    <t>간판</t>
  </si>
  <si>
    <t>○(비용지원)</t>
  </si>
  <si>
    <t>○(소유/관리)</t>
  </si>
  <si>
    <t>별도 SI 약정 기준</t>
  </si>
  <si>
    <t>임차료/공과금</t>
  </si>
  <si>
    <t>보증금</t>
  </si>
  <si>
    <t>투자B샵 임대보증금은 공급업자 부담</t>
  </si>
  <si>
    <t>임차료</t>
  </si>
  <si>
    <t>투자B샵의 임차계약서에 따르는
임차료/관리비는 공급업자 부담
매장 운영과 관련하여 발생하는 관리비(수도전기요금 등)는 대리점 부담</t>
  </si>
  <si>
    <t>관리비/공과금</t>
  </si>
  <si>
    <t>○(관리비)</t>
  </si>
  <si>
    <t>○(관리비/공과금)</t>
  </si>
  <si>
    <t>영업장구</t>
  </si>
  <si>
    <t>전시품</t>
  </si>
  <si>
    <t>소비자가 40% (월 1회, 연간한도有)
(오픈/VP존/LDK신제품/전략적 변경 시 
소비자가 50%)</t>
  </si>
  <si>
    <t>소품 및 디스플레이용품</t>
  </si>
  <si>
    <t>영업장구류(샘플 등)</t>
  </si>
  <si>
    <t>비품(집기류, 컴퓨터 등)</t>
  </si>
  <si>
    <t>광고/홍보</t>
  </si>
  <si>
    <t>프로모션(이벤트 등)</t>
  </si>
  <si>
    <t>광고 및 판촉활동 합의에 따름</t>
  </si>
  <si>
    <t>판촉물</t>
  </si>
  <si>
    <t>소요비용 50% (금액 한도 有)</t>
  </si>
  <si>
    <t>광고,홍보비</t>
  </si>
  <si>
    <t>인건비</t>
  </si>
  <si>
    <t>판매직 급여,상여,복리후생</t>
  </si>
  <si>
    <t>분류 외</t>
  </si>
  <si>
    <t>위에서 지정하지 않은
대리점 발생 비용</t>
  </si>
  <si>
    <t>※대리점 관리의 범위 : 최초 출고 이후 사용상 발생하는 보수 비용까지 포함하며, 기본적인 유지 보수를 진행한다.</t>
  </si>
  <si>
    <t>㈜일룸 (이하 공급업자)과 페드라 (일룸 현대목동) (이하 대리점) 간에</t>
  </si>
  <si>
    <t>150,000,000 초과 ~
200,000,000 이하</t>
  </si>
  <si>
    <t>200,000,000 초과 ~
300,000,000 이하</t>
  </si>
  <si>
    <t>300,000,000 초과</t>
  </si>
  <si>
    <t>* 본 수수료율의 매출액은 위탁가격을 기준으로하며, 대리점 소유의 전시품 판매를 제외한 POS결제금액 기준</t>
  </si>
  <si>
    <t>* 예시: 대리점 소유의 전시품 판매를 제외한 POS매출액 270,000,000원인 경우 판매수수료</t>
  </si>
  <si>
    <t>150,000,000 * 11% + 50,000,000 * 8% + 70,000,000 * 7% = 25,400,000(원)</t>
  </si>
  <si>
    <t>제5조 [수수료 산정 기준 및 매출의 정의]</t>
  </si>
  <si>
    <t>1) 수수료 지급 대상 매출(이하 “수수료 대상 매출”)이라 함은 입점몰에서 POS를 통해 고객과의 직접적인 거래로 발생한 실제 판매금액을 의미한다.</t>
  </si>
  <si>
    <t xml:space="preserve">2) 다음 각 호에 해당하는 금액은 고객과의 거래로 발생한 매출로 보지 아니하며, 수수료 대상 매출에서 제외한다. </t>
  </si>
  <si>
    <t xml:space="preserve">   ① 매장 운영 등과 관련하여 계약 또는 당사자 간 합의에 따라 대리점이 부담하여야 하는 제반 비용</t>
  </si>
  <si>
    <t xml:space="preserve">   ② 전시품의 이동, 설치, 철거 등 대리점 소유 자산의 운영 과정에서 발생하는 비용</t>
  </si>
  <si>
    <t xml:space="preserve">   ③ 기타 그 성질상 고객과의 직접적인 판매거래로 보기 어렵고, 계약 또는 당사자 간 합의에 따라 대리점이 부담하기로 한 비용</t>
  </si>
  <si>
    <t>3) 제2항에 따른 비용은 원칙적으로 POS가 아닌 별도의 거래 방식(서브코드 또는 이에 준하는 정산 방식)을 통해 처리하여야 한다.</t>
  </si>
  <si>
    <t xml:space="preserve">4) 대리점이 제2항에 해당하는 비용을 POS를 통해 결제한 경우에도, 해당 금액은 수수료 대상 매출에서 제외된다. 다만, 공급업자가 정산 시 </t>
  </si>
  <si>
    <t xml:space="preserve"> 이를 반영하고자 하는 경우에는 그 내역과 산정근거를 대리점에게 사전에 고지하여야 하며, 대리점이 이의를 제기한 경우에는 당사자 협의를 거쳐 </t>
  </si>
  <si>
    <t xml:space="preserve"> 확정된 범위에서 반영한다.</t>
  </si>
  <si>
    <t xml:space="preserve">5) 대리점은 본 조에 따라 부담하여야 하는 비용의 산정 또는 부과에 대하여 이의가 있는 경우, 그 사유를 명시하여 공급업자에 서면 또는 공급업자가 </t>
  </si>
  <si>
    <t xml:space="preserve"> 인정하는 방식으로 이의를 제기할 수 있다.</t>
  </si>
  <si>
    <t>6) 공급업자와 대리점은 제5항에 따른 이의 제기가 있는 경우, 관련 자료를 상호 확인하고 신의성실의 원칙에 따라 협의하여 조정할 수 있다.</t>
  </si>
  <si>
    <t>제6조 [광고 및 판촉활동 지원금]</t>
  </si>
  <si>
    <t>제7조 [매출 구간별 인센티브]</t>
  </si>
  <si>
    <t>200,000,000 초과~
300,000,000 이하</t>
  </si>
  <si>
    <t>300,000,000 초과~
500,000,000 이하</t>
  </si>
  <si>
    <t>500,000,000 초과~
700,000,000 이하</t>
  </si>
  <si>
    <t>700,000,000 초과</t>
  </si>
  <si>
    <t>* 예시 : 매출액 550,000,000원인 경우 인센티브 (200,000,000원 초과 금액부터 인센티브 발생)</t>
  </si>
  <si>
    <t>제8조 [전시 관련 지원금]</t>
  </si>
  <si>
    <t>* 전시품 및 전시용품 매출은 별도의 판매수수료를 지급하지 않는다.</t>
  </si>
  <si>
    <t>제9조 [약정기간 등]</t>
  </si>
  <si>
    <t>제10조 [약정서 해석의 기준]</t>
  </si>
  <si>
    <t>CI 및 SI 약정서</t>
  </si>
  <si>
    <t>다음과 같이 CI 및 SI 약정을 체결한다.</t>
  </si>
  <si>
    <t xml:space="preserve">- 다         음 - </t>
  </si>
  <si>
    <t>1) 이 약정은 공급업자가 규정하는 브랜드 CI 및 SI를 대리점이 성실하게 준수하고, 공급업자가 대리점에 지원하는 사항 등을 정함을</t>
  </si>
  <si>
    <t>목적으로 한다.</t>
  </si>
  <si>
    <t>제2조 [용어의 정의]</t>
  </si>
  <si>
    <t>1) CI (Corporation identity) : 기업의 심벌마크, 로고타입, 심벌색상 등을 일치시켜 이상적인 브랜드 이미지를 부각함으로써</t>
  </si>
  <si>
    <t>새로운 브랜드 이념 확립과 사업영역 확대 등을 꾀하는 경영전략</t>
  </si>
  <si>
    <t>2) SI (Shop Identity) : 브랜드의 매장 이미지 통일화 작업으로 매장마다 간판이나 내부 장식, 진열방법, 조명 등을 통일 또는</t>
  </si>
  <si>
    <t>규격화 함으로써 소비자의 구매욕구를 불러 일으키는 경영전략</t>
  </si>
  <si>
    <t xml:space="preserve">3) 전시품이란 매장에 전시를 목적으로 전시되는 상품을 의미한다. </t>
  </si>
  <si>
    <t>제3조 [매장유형의 구분]</t>
  </si>
  <si>
    <t>1) 공급업자는 전시 전문화의 목적을 가지고 대리점의 유형을 아래의 기준에 따라 구분하며, 유형에 맞춰 판매물품 및 지원금,</t>
  </si>
  <si>
    <t>각종 지원에 있어 제한을 할 수 있다.</t>
  </si>
  <si>
    <t xml:space="preserve">① 일반 매장 (이하 B-shop, S-shop) : 인테리어 등 대리점주 소유 및 운영 매장 </t>
  </si>
  <si>
    <t>② 본사투자형 매장 (이하 투자형 B-shop) : 인테리어, 매장임대 등 본사 투자형 매장</t>
  </si>
  <si>
    <t>2) 공급업자는 신제품 출시, 브랜드 운영정책 변경, 매장 규모 또는 입지 특성 등 합리적인 사유가 있는 경우에 한하여</t>
  </si>
  <si>
    <t xml:space="preserve"> 제1항의 기준을 예외적으로 적용할 수 있다. 이 경우 공급업자는 그 사유와 적용 내용을 사전에 서면으로 안내하여야 하며,</t>
  </si>
  <si>
    <t xml:space="preserve"> 대리점과 성실히 협의하여야 한다</t>
  </si>
  <si>
    <t>제4조 [판매품목의 조정]</t>
  </si>
  <si>
    <t>1) 대리점이 제3조의 제반 기준에 따른 매장유형의 필요 조건을 갖추었다 하더라도 공급업자가 공지하였거나 사전에 협의한</t>
  </si>
  <si>
    <t>CI 및 SI 규정과 전시품 레이아웃 시안을 준수하지 않아 현저하게 브랜드 이미지를 훼손할 경우, 공급업자는 시정을 요청할 수 있으며,</t>
  </si>
  <si>
    <t>대리점이 이에 응하지 않는 경우 대리점의 판매 및 전시품목을 제한할 수 있다</t>
  </si>
  <si>
    <t>2) 공급업자는 상기 1항 이외에 영업정책 상 필요할 경우 대리점의 판매품목을 예외적으로 조정할 수 있다.</t>
  </si>
  <si>
    <t>제5조 [온라인 활동]</t>
  </si>
  <si>
    <t>1) 대리점이 온라인상에서 공급업자의 로고, 제품이미지 등을 사용하는 경우 반드시 공급업자의 승인을 받아야 하며, 로고의 임의 변경</t>
  </si>
  <si>
    <t xml:space="preserve">및 무단 복제로 인해 공급업자가 피해를 입지 않도록 대리점은 성실히 협조하여야 한다. </t>
  </si>
  <si>
    <t>2) 대리점이 온라인상의 별도 사이트 운영과 블로그, 카페를 포함한 커뮤니티 운영하는 것에 대해 공급업자는 대리점에게</t>
  </si>
  <si>
    <t>온라인 활동지침을 제시할 수 있다.</t>
  </si>
  <si>
    <t>3) 대리점은 공급업자가 제공하는 매뉴얼과 시안으로 브랜드 이미지에 맞게 사이트와 커뮤니티를 운영하여야 한다.</t>
  </si>
  <si>
    <t xml:space="preserve"> 대리점은 공급업자의 상표, 상호, 디자인, 저작물 기타 브랜드 자산을 사용하는 경우, 공급업자가 사전에 제공한 매뉴얼 및 </t>
  </si>
  <si>
    <t xml:space="preserve"> 가이드에 따라 소비자 혼동 방지와 브랜드 동일성 유지를 위한 범위 내에서 이를 사용한다</t>
  </si>
  <si>
    <t xml:space="preserve">4) 대리점의 온라인 활동과 관련한 세부 운영기준은 상표권 보호, 허위·과장표시 방지, 소비자 보호 및 브랜드 자산 관리에 </t>
  </si>
  <si>
    <t xml:space="preserve"> 필요한 범위 내에서만 적용한다. 공급업자는 온라인 활동에 관하여 시정을 요청할 경우 그 사유와 범위를 구체적으로 서면 통지하여야 </t>
  </si>
  <si>
    <t xml:space="preserve"> 하며, 대리점은 합리적인 범위 내에서 이에 협조한다.</t>
  </si>
  <si>
    <t>제6조 [매장 시설 및 전시]</t>
  </si>
  <si>
    <t>1) 대리점이 매장을 개설, 이전하거나 기존 전시를 변경하고자 할 경우에는 매장의 시설 및 전시 계획에 관하여 공급업자가 지정한</t>
  </si>
  <si>
    <t>다음과 같은 SI 기준에 준하여 시행한다.</t>
  </si>
  <si>
    <t>① 인테리어 및 소품은 공급업자가 추천한 업체 또는 대리점이 직접 진행할 수 있으며, 대리점이 비용 부담한다.</t>
  </si>
  <si>
    <t>2) 공급업자는 신제품 출시 혹은 전시환경 개선 등으로 매장 전시 변경을 제의할 수 있고, 대리점은 공급업자와 성실히 협의하여</t>
  </si>
  <si>
    <t>시행하여야 한다. 이 때 공급업자는 [별첨1] 'SI 지원 기준안'에 의거하여 지원한다.</t>
  </si>
  <si>
    <t xml:space="preserve">3) 공급업자는 대리점에게 매장에 설치된 간판 및 사인물의 보수, 유지, 철거의 책임을 요구할 수 있고, 대리점은 공급업자와 </t>
  </si>
  <si>
    <t>성실히 협의하여 시행하여야 한다.</t>
  </si>
  <si>
    <t>제7조 [SI 지원 내용]</t>
  </si>
  <si>
    <t>1) 대리점이 매장을 개설, 이전할 경우에 공급업자는 다음의 항목을 합리적인 수준에서 지원할 수 있다.</t>
  </si>
  <si>
    <t>① 전면간판 / 돌출간판</t>
  </si>
  <si>
    <t>② 내부 사인물, 소품 및 디스플레이 용품</t>
  </si>
  <si>
    <t>2) 상기 1)항은 [별첨1] 간판 / 사인물 / 전시품 지원 기준안에 의거하여 지원한다.</t>
  </si>
  <si>
    <t>제8조 [SI 지원 중단]</t>
  </si>
  <si>
    <t xml:space="preserve">1) 매장관리와 관련하여 다음의 경우, 공급업자는 대리점에 대한 지원을 제한할 수 있다. </t>
  </si>
  <si>
    <t>① 대리점이 본 약정서에서 정한 기준이나 규정에 미달되는 경우</t>
  </si>
  <si>
    <t>② 대리점이 공급업자와 협의한 표준사양 및 시방서에 따라 시공하지 아니한 경우</t>
  </si>
  <si>
    <t>③ 대리점이 시공 이후 합리적이 이유 없이 공급업자의 검수를 거부하거나 만족치 못한 경우</t>
  </si>
  <si>
    <t>④ 대리점이 공급업자가 사전에 공지한 전시계획 및 전시지침을 따르지 아니한 경우</t>
  </si>
  <si>
    <t>⑤ 대리점이 매장을 SI 지원물이 시공 가능한 상태로 유지하지 아니한 경우</t>
  </si>
  <si>
    <t>⑥ 대리점이 기 지원한 SI 지원물의 관리를 소홀히 하여 공급업자의 이미지를 훼손한 경우</t>
  </si>
  <si>
    <t>⑦ 대리점이 공급업자가 정한 기준에 미달하는 소품 및 디스플레이 용품 전시로 매장 표준화에 위배될 경우</t>
  </si>
  <si>
    <t>제9조 [전시품 지원 조건]</t>
  </si>
  <si>
    <t xml:space="preserve">  1) 공급업자는 대리점이 아래 각 호의 조건을 모두 충족하는 경우 전시품에 대한 할인을 지원할 수 있다.</t>
  </si>
  <si>
    <t xml:space="preserve">      ① 대리점이 매장에 공급업자의 제품만을 전시하는 경우</t>
  </si>
  <si>
    <t xml:space="preserve">      ② 공급업자가 지정한 대리점별 연간 전시품 지원 한도 내에서 월 1회 전시품을 신청하는 경우</t>
  </si>
  <si>
    <t xml:space="preserve">        ※대리점별 전시품 연간 지원한도는 대리점의 입지에 따라 아래와 같이 운영한다. </t>
  </si>
  <si>
    <t>입지</t>
  </si>
  <si>
    <t>지원한도</t>
  </si>
  <si>
    <t>로드</t>
  </si>
  <si>
    <t>평수×300,000원</t>
  </si>
  <si>
    <t>소비자가 기준, VAT포함</t>
  </si>
  <si>
    <t>입점몰</t>
  </si>
  <si>
    <t>평수×450,000원</t>
  </si>
  <si>
    <t>백화점</t>
  </si>
  <si>
    <t>평수×500,000원</t>
  </si>
  <si>
    <t xml:space="preserve">  2) 연간 전시품 지원 한도에서 제외되는 각각의 전시품 할인율 적용 조건은 다음과 같다.</t>
  </si>
  <si>
    <t xml:space="preserve">   ① 대리점이 매장 신규 오픈, 리뉴얼을 하는 경우, 상호 사전 합의된 상품에 한해 상품가격의 50% 할인</t>
  </si>
  <si>
    <t xml:space="preserve">   ② 공급업자가 신제품, 사양변경 제품 출시 후 공급업자가 지정한 기간 내에 대리점이 해당 제품의 전시품을 주문하는 경우</t>
  </si>
  <si>
    <t xml:space="preserve">      1회에 한해 해당 상품가격의 40% 할인</t>
  </si>
  <si>
    <t xml:space="preserve">   ③ 대리점이 입주행사, 주요 프로젝트 진행에 참여하여 전시품을 주문하는 경우 상품가격의 40% 할인</t>
  </si>
  <si>
    <t>제10조 [전시품 지원 중단]</t>
  </si>
  <si>
    <t xml:space="preserve">  1) 다음 각호의 사유가 발생하는 경우 공급업자는 대리점에 전시품 지원을 중단 및 회수 할 수 있다. </t>
  </si>
  <si>
    <t>① 대리점이 시공 이후 합리적이 이유 없이 공급업자의 검수를 거부하거나 만족치 못한 경우</t>
  </si>
  <si>
    <t>② 대리점이 공급업자와 사전에 협의한 전시계획 및 전시지침을 따르지 아니한 경우</t>
  </si>
  <si>
    <t>③ 대리점이 매장을 SI 지원물이 시공 가능한 상태로 유지하지 아니한 경우</t>
  </si>
  <si>
    <t>④ 대리점이 기 지원한 SI 지원물의 관리를 소홀히 하여 공급업자의 이미지를 훼손한 경우</t>
  </si>
  <si>
    <t>⑤ 대리점이 공급업자가 정한 기준에 미달하는 소품 및 디스플레이 용품 전시로 매장 표준화에 위배될 경우</t>
  </si>
  <si>
    <t>⑥ 대리점의 연간 전시품 지원 한도에 초과될 경우</t>
  </si>
  <si>
    <t>제11조 [간판 및 사인물에 대한 소유권 및 유지·보수 관리 책임]</t>
  </si>
  <si>
    <t xml:space="preserve">1) 대리점은 [별첨2. 매장 기본 관리 매뉴얼]에 따라 매장 및 매장의 시설물을 성실하게 유지, 관리하여야 한다. </t>
  </si>
  <si>
    <t>2) 대리점이 전항의 관리의무를 위반하여 발생하는 일체의 손해는 모두 대리점이 전적으로 책임을 부담한다</t>
  </si>
  <si>
    <t>3) 대리점은 본 계약이 해지 또는 종료된 경우, 대리점의 비용과 책임으로 인테리어, 간판, 사인물 등을 철거하고 원상회복 할</t>
  </si>
  <si>
    <t>의무가 있다.</t>
  </si>
  <si>
    <t>제12조 [약정기간]</t>
  </si>
  <si>
    <t>*1년일 경우</t>
  </si>
  <si>
    <t>1) 본 약정의 존속기간은 다음과 같다. (2026년 5월 1일 ~ 2027년 3월 31일)</t>
  </si>
  <si>
    <t>1) 본 약정의 존속기간은 약정을 체결한 날로부터 약 12개월로 한다. (계약기간)</t>
  </si>
  <si>
    <t>2) 공급업자와 대리점 간의 위탁판매 대리점 계약이 연장이나 해지 또는 종료된 경우, 본 약정도 동일하게 적용한다.</t>
  </si>
  <si>
    <t>1) 본 약정의 존속기간은 다음과 같다. (계약기간)</t>
  </si>
  <si>
    <t>*계약기간이 3/31 이전일 시</t>
  </si>
  <si>
    <t>제13조 [분쟁해결 및 재판관할]</t>
  </si>
  <si>
    <t>1) 이 약정에서 정하지 아니한 사항 또는 이 약정의 내용에 대하여 공급업자와 대리점간 분쟁이 발생한 경우, 공급업자와 대리점의</t>
  </si>
  <si>
    <t>합의된 의사에 따른다. 공급업자와 대리점사이에 약정 해석과 관련한 합의가 이루어지지 않은 경우 일반 상관례 및 관계 법령에 따른다.</t>
  </si>
  <si>
    <t>2) 제1항에 의해서도 이 약정과 관련한 분쟁이 해결되지 아니한 경우에는 「대리점거래의 공정화에 관한 법률」제 19조 제1항에 따라</t>
  </si>
  <si>
    <t>대리점분쟁조정협의회에 조정을 신청할 수 있다. 이 경우에 공급업자와 대리점은 조정절차에 성실하게 임하며, 원활한 분쟁해결을 위해</t>
  </si>
  <si>
    <t>노력한다.</t>
  </si>
  <si>
    <t>3) 공급업자와 대리점이 제2항에 따른 조정을 신청하지 아니하는 경우, 이 약정에 관한 분쟁의 해결은 통상의 민사재판에 의하며,</t>
  </si>
  <si>
    <t>관할은 민사소송법에 따른다.</t>
  </si>
  <si>
    <t>제14조 [약정의 효력 등]</t>
  </si>
  <si>
    <t>1) 공급업자와 대리점은 이 약정을 체결하기 전에 충분한 협의를 거쳤고, 약정 내용을 모두 숙지하였으며, 이 약정을 증명하기 위하여</t>
  </si>
  <si>
    <t>전자계약으로 서명 또는 기명날인하여 각각 1부씩 보관한다.</t>
  </si>
  <si>
    <t>2) 이 약정서에 기재된 내용만이 공급업자와 대리점 사이에 합의된 내용이며, 이 이외의 내용에 대한 당사자 간의 그 어떠한</t>
  </si>
  <si>
    <t xml:space="preserve">구두 합의도 당사자를 구속하지 아니한다. </t>
  </si>
  <si>
    <t>3) 이 약정서의 내용은 공급업자와 대리점 사이의 서면 합의에 의해서만 변경되거나 수정될 수 있으며, 그 변경 및 수정은</t>
  </si>
  <si>
    <t>공급업자와 대리점이 해당 서면에 서명 또는 기명날인함과 동시에 그 효력을 발생한다.</t>
  </si>
  <si>
    <t>[별첨1] SI 지원 기준안</t>
  </si>
  <si>
    <t>지원항목</t>
  </si>
  <si>
    <t>지원금액</t>
  </si>
  <si>
    <t>내부 공사</t>
  </si>
  <si>
    <t>대리점 100% 부담</t>
  </si>
  <si>
    <t>외부간판 (파사드 제외)</t>
  </si>
  <si>
    <t>실비 100%</t>
  </si>
  <si>
    <t>대리점 신규 오픈 또는 이전 시 1회</t>
  </si>
  <si>
    <t>내부사인물</t>
  </si>
  <si>
    <t>내부 사인물 및 소품류
세일즈툴킷</t>
  </si>
  <si>
    <t>실비의 50%</t>
  </si>
  <si>
    <t>대리점 신규 오픈 또는 이전 시 1회
*100평 이상의 매장에 평당 20만원 이상 
투자한 경우
(단, 입점몰/백화점/팝업매장의 경우 
평당 10만원 이상 투자)
(단, 기존매장 확장 시 소요비용 제한없음)</t>
  </si>
  <si>
    <t>레이아웃 변경</t>
  </si>
  <si>
    <t>소비자가의 40%</t>
  </si>
  <si>
    <t>월 1회, 연간 한도 내 지원</t>
  </si>
  <si>
    <t>연 1회, 연간 한도 내 지원(본사합의必)</t>
  </si>
  <si>
    <t>개설/리뉴얼/확장</t>
  </si>
  <si>
    <t>본사와 협의한 품목(연간 한도 제외)</t>
  </si>
  <si>
    <t>신제품/사양변경/외부활동</t>
  </si>
  <si>
    <t>영업장구류</t>
  </si>
  <si>
    <t>판촉물의 경우 연간 지원 한도 내 지원</t>
  </si>
  <si>
    <t>[별첨2] 기본 관리 매뉴얼</t>
  </si>
  <si>
    <t>항목</t>
  </si>
  <si>
    <t>내용</t>
  </si>
  <si>
    <t>운영 및 관리 서비스</t>
  </si>
  <si>
    <t>공통</t>
  </si>
  <si>
    <t>각 교통 수단에 따른 매장 방문에 어려움이 없는가
(매장 위치 검색, 매장 및 주차장 입구로의 진입 등)
* 네이게이션에 매장 위치가 올바르게 등록되어 있는지, 매장 및 주차장 출입구 위치가 찾기 쉬운지, 위치 안내 사인물 등이 필요한 경우 설치되어 있는지 등</t>
  </si>
  <si>
    <t>판매 직원이 제품과 셀링 포인트에 대해 충분히 숙지하고 있는가</t>
  </si>
  <si>
    <t>전시품판매 직원이 제품과 셀링 포인트에 대해 충분히 숙지하고 있는가</t>
  </si>
  <si>
    <t>파사드</t>
  </si>
  <si>
    <t>파사드 및 출입구의 손상부분이 없는가</t>
  </si>
  <si>
    <t>바닥</t>
  </si>
  <si>
    <t>바닥재가 부분적으로 손상된 곳은 없는가
*안전상의 문제가 우려되거나 미관상 매장 이미지를 저해하는 수준</t>
  </si>
  <si>
    <t>천장</t>
  </si>
  <si>
    <t>전등 및 팬던트가 깜빡거리거나 나간 부분이 없는가</t>
  </si>
  <si>
    <t>벽체</t>
  </si>
  <si>
    <t>벽체에 크랙이나 파티션의 손상은 없는가</t>
  </si>
  <si>
    <t>파티션, 전시대 등</t>
  </si>
  <si>
    <t>구조물에 오염이나 훼손이 없는가</t>
  </si>
  <si>
    <t>구조물</t>
  </si>
  <si>
    <t>구조물에 있는 조명이 점등이 잘 되는가</t>
  </si>
  <si>
    <t>각각의 조닝 구성에 맞게 전시품이 배치되어 있는가</t>
  </si>
  <si>
    <t>전시품의 청결이 잘 관리되고 있는가</t>
  </si>
  <si>
    <t>전시된 제품의 기능상 하자가 없는가</t>
  </si>
  <si>
    <t>사인물</t>
  </si>
  <si>
    <t>외부사인물</t>
  </si>
  <si>
    <t>외부사인물은 점등이 잘 되는가</t>
  </si>
  <si>
    <t>외부사인물(현판, 간판, 안내사인물, 배너, 윈도우시트 등)의 훼손은 없는가</t>
  </si>
  <si>
    <t>외부에 안내사인물이 적절히 설치되어 있는가(주차장, 엘리베이터 등)</t>
  </si>
  <si>
    <t>매장 운영 관련 사인물(운영시간, 연락처 등)이 실제와 같이 잘 표지되어 있는가</t>
  </si>
  <si>
    <t>본사의 매뉴얼과 다른 자체적으로 제작된 사인물이 있는가</t>
  </si>
  <si>
    <t>사인물이 지정된 위치에 배치되어 있는가(스탠디 배너 등)</t>
  </si>
  <si>
    <t>가격택이 매뉴얼에 맞게 설치되어 있는가(제품에 맞게 설치되어 있는지, 
최신 시안을 사용하고 있는지 등)</t>
  </si>
  <si>
    <t>소품</t>
  </si>
  <si>
    <t>소품의 양과 위치가 적절히 DP되어 있는가(분실된 소품은 없는가)</t>
  </si>
  <si>
    <t>카펫, 커튼 포함</t>
  </si>
  <si>
    <t>소품의 상태가 양호한가(찢김, 오염, 깨짐 등)</t>
  </si>
  <si>
    <t>연출존</t>
  </si>
  <si>
    <t>임의로 추가 및 변경된 가구는 없는가</t>
  </si>
  <si>
    <t>사이니지</t>
  </si>
  <si>
    <t>사이니지 영상은 매뉴얼에 적합한가
(계약기간 끝난 영상을 쓰거나, 브랜드 영상 외 다른 영상 송출 등)</t>
  </si>
  <si>
    <t>기타</t>
  </si>
  <si>
    <t>매장의 청결상태는 양호한가</t>
  </si>
  <si>
    <t>전시공간 외 매장의 정리정돈이 잘 되어있는가
(탕비실, 인포데스크 등이 고객 시야에 노출되는 경우)</t>
  </si>
  <si>
    <t>고객 동선 방해, 시야 차단 등 불편함을 초래하는 방해물은 없는가</t>
  </si>
  <si>
    <t>매장 직원의 복장 상태가 양호한가</t>
  </si>
  <si>
    <t>법무의견서</t>
  </si>
  <si>
    <t>개인정보처리 위탁 약정서</t>
  </si>
  <si>
    <t>https://ep.fursys.com/WebFlow/view.do?flowNo=eZYVZRVMHFi3XWVIQMM-vLkQrhQ2A-9N04z4NA3_6UA</t>
  </si>
  <si>
    <t>㈜일룸 (이하 "위탁자"라 한다)과 페드라 (일룸 현대목동) (이하 "수탁자"라 한다) 는</t>
  </si>
  <si>
    <t>위탁자의 개인정보 처리 업무를 수탁자에게 위탁함에 있어</t>
  </si>
  <si>
    <t>다음과 같은 내용으로 본 업무위탁계약을 체결한다.</t>
  </si>
  <si>
    <t>1) 이 계약은 '위탁자'가 개인정보처리업무를 '수탁자'에게 위탁하고, '수탁자'는 이를 승낙하여 '수탁자'의 책임 아래</t>
  </si>
  <si>
    <t xml:space="preserve">성실하게 업무를 완성하도록 하는데 필요한 사항을 정함을 목적으로 한다. </t>
  </si>
  <si>
    <t>1) 본 계약에서 별도로 정의되지 아니한 용어는「개인정보 보호법」, 같은 법 시행령 및 시행규칙,</t>
  </si>
  <si>
    <t>「개인정보의 안전성 확보조치 기준」(행정안전부 고시 제2019-47호) 및「표준 개인정보 보호지침」</t>
  </si>
  <si>
    <t xml:space="preserve">(행정안전부 고시 제2017-1호)에서 정의된 바에 따른다.  </t>
  </si>
  <si>
    <t>제3조 [위탁업무의 목적 및 범위]</t>
  </si>
  <si>
    <t xml:space="preserve">1) '수탁자'는 계약이 정하는 바에 따라 일룸의 위탁운영업체로서 고객서비스 목적으로 다음과 같은 개인정보 처리 업무를 수행한다. </t>
  </si>
  <si>
    <t xml:space="preserve">① 위탁자가 공급하는 일체의 상품 판매를 위한 견적서/주문서 발행 시 개인정보 처리 업무 </t>
  </si>
  <si>
    <t>② 상품판매와 관련된 A/S 접수, 조치 및 확인 업무</t>
  </si>
  <si>
    <t xml:space="preserve">③ 기타 고객의 요청에 따른 문의 대응 업무 </t>
  </si>
  <si>
    <t xml:space="preserve">④ 고객서비스 제공목적의 기수주정보 조회업무 </t>
  </si>
  <si>
    <t>제4조 [위탁업무 기간]</t>
  </si>
  <si>
    <t>1) 이 계약서에 의한 개인정보 처리업무의 기간은 다음과 같다. (2026년 5월 1일 ~ 2027년 3월 31일)</t>
  </si>
  <si>
    <t>제5조 [재위탁 제한]</t>
  </si>
  <si>
    <t xml:space="preserve">1) '수탁자'는 '위탁자'의 사전 승낙을 얻은 경우를 제외하고 '위탁자'와의 계약상의 권리와 의무의 전부 또는 일부를 </t>
  </si>
  <si>
    <t xml:space="preserve">제3자에게 양도하거나 재위탁할 수 없다. </t>
  </si>
  <si>
    <t xml:space="preserve">2) '수탁자'가 다른 제3의 회사와 수탁계약을 할 경우에는 '수탁자'는 해당 사실을 계약 체결 7일 이전에 </t>
  </si>
  <si>
    <t>'위탁자'에게 통보하고 협의하여야 한다.</t>
  </si>
  <si>
    <t>제6조 [개인정보의 안전성 확보조치]</t>
  </si>
  <si>
    <t xml:space="preserve">1) '수탁자'는「개인정보 보호법」제23조제2항 및 제24조제3항 및 제29조, 같은 법 시행령 제21조 및 제30조, </t>
  </si>
  <si>
    <t xml:space="preserve">「개인정보의 안전성 확보조치 기준」(행정안전부 고시 제2019-47호)에 따라 개인정보의 안전성 확보에 필요한 </t>
  </si>
  <si>
    <t xml:space="preserve">관리적․기술적 조치를 취하여야 한다. </t>
  </si>
  <si>
    <t>제7조 [개인정보의 처리제한]</t>
  </si>
  <si>
    <t xml:space="preserve">1) '수탁자'는 계약기간은 물론 계약 종료 후에도 위탁업무 수행 목적 범위를 넘어 개인정보를 이용하거나 </t>
  </si>
  <si>
    <t xml:space="preserve">이를 제3자에게 제공 또는 누설하여서는 안 된다. </t>
  </si>
  <si>
    <t xml:space="preserve">2) '수탁자'는 계약이 해지되거나 또는 계약기간이 만료된 경우 위탁업무와 관련하여 보유하고 있는 개인정보를 </t>
  </si>
  <si>
    <t xml:space="preserve">「개인정보 보호법」시행령 제16조 및「개인정보의 안전성 확보조치 기준」(행정안전부 고시 제2019-47호)에 따라 </t>
  </si>
  <si>
    <t xml:space="preserve">즉시 파기하거나 '위탁자'에게 반납하여야 한다.  </t>
  </si>
  <si>
    <t xml:space="preserve">3) 제2항에 따라 '수탁자'가 개인정보를 파기한 경우 지체없이 '위탁자'에게 그 결과를 통보하여야 한다. </t>
  </si>
  <si>
    <t>제8조 [수탁자에 대한 관리·감독 등]</t>
  </si>
  <si>
    <t xml:space="preserve">1) '위탁자'는 '수탁자'에 대하여 다음 각 호의 사항을 감독할 수 있으며, '수탁자'는 특별한 사유가 없는 한 이에 응하여야 한다. </t>
  </si>
  <si>
    <t>① 개인정보의 처리현황</t>
  </si>
  <si>
    <t>② 개인정보의 접근 또는 접속현황</t>
  </si>
  <si>
    <t>③ 개인정보 접근 또는 접속 대상자</t>
  </si>
  <si>
    <t>④ 목적 외 이용·제공 및 재위탁 금지 준수여부</t>
  </si>
  <si>
    <t>⑤ 암호화 등 안전성 확보조치 이행여부</t>
  </si>
  <si>
    <t>⑥ 그 밖에 개인정보의 보호를 위하여 필요한 사항</t>
  </si>
  <si>
    <t xml:space="preserve">2) '위탁자'는 '수탁자'에 대하여 제1항 각 호의 사항에 대한 실태를 점검하여 시정을 요구할 수 있으며, </t>
  </si>
  <si>
    <t xml:space="preserve">'수탁자'는 특별한 사유가 없는 한 이행하여야 한다. </t>
  </si>
  <si>
    <t>3) '위탁자'는 처리위탁으로 인하여 정보주체의 개인정보가 분실·도난·유출·변조 또는 훼손되지 아니하도록</t>
  </si>
  <si>
    <t xml:space="preserve"> 1년에 1회 '수탁자'를 교육할 수 있으며, '수탁자'는 이에 응하여야 한다. </t>
  </si>
  <si>
    <t>4) 제1항에 따른 교육의 시기와 방법 등에 대해서는 '위탁자'는 '수탁자'와 협의하여 시행한다.</t>
  </si>
  <si>
    <t>제9조 [정보주체 권리보장]</t>
  </si>
  <si>
    <t xml:space="preserve">1) '수탁자'는 정보주체의 개인정보 열람, 정정·삭제, 처리 정지 요청 등에 대응하기 위한 연락처 등 민원 창구를 마련해야 한다. </t>
  </si>
  <si>
    <t>제10조 [개인정보의 파기]</t>
  </si>
  <si>
    <t>1)  '수탁자'는 제4조의 위탁업무기간이 종료되면 특별한 사유가 없는 한 지체 없이 개인정보를 파기하고</t>
  </si>
  <si>
    <t xml:space="preserve"> 이를 '위탁자'에게 확인받아야 한다.  </t>
  </si>
  <si>
    <t>제11조 [손해배상]</t>
  </si>
  <si>
    <t xml:space="preserve">1) '수탁자' 또는 '수탁자'의 임직원 기타 '수탁자'의 수탁자가 이 계약에 의하여 위탁 또는 재위탁 받은 업무를 수행함에 있어 </t>
  </si>
  <si>
    <t xml:space="preserve">이 계약에 따른 의무를 위반하거나 '수탁자' 또는 '수탁자'의 임직원 기타 '수탁자'의 수탁자의 귀책사유로 인하여 </t>
  </si>
  <si>
    <t xml:space="preserve">이 계약이 해지되어 '위탁자' 또는 개인정보주체 기타 제3자에게 손해가 발생한 경우 '수탁자'는 그 손해를 배상하여야 한다. </t>
  </si>
  <si>
    <t xml:space="preserve">2) 제1항과 관련하여 개인정보주체 기타 제3자에게 발생한 손해에 대하여 '위탁자'가 전부 또는 일부를 배상한 때에는 </t>
  </si>
  <si>
    <t xml:space="preserve">'위탁자'는 이를 '수탁자'에게 구상할 수 있다.  </t>
  </si>
  <si>
    <t>"위탁자"</t>
  </si>
  <si>
    <t>"수탁자"</t>
  </si>
  <si>
    <t>3D 홈 플래너 사용권 계약서</t>
  </si>
  <si>
    <t>갑이 주식회사 아키드로우(이하 '아키드로우'라 함)로부터 사용권을 획득한</t>
  </si>
  <si>
    <t>인테리어 3D 소프트웨어 서비스(이하 "3D 홈 플래너"라 함)의 사용권한을 을에게 부여함에 있어</t>
  </si>
  <si>
    <t>다음과 같이 계약을 체결한다.</t>
  </si>
  <si>
    <t>본 계약은 갑이 아키드로우로부터 부여받은 3D 홈 플래너 사용권한을 을에게 부여하고, 을이 그에 대한 사용료를 지급함에 있어 당사자간의</t>
  </si>
  <si>
    <t>권리와 의무를 규정하는 것을 그 목적으로 한다.</t>
  </si>
  <si>
    <t>제2조 [권리의 표시]</t>
  </si>
  <si>
    <t>갑은 3D 홈 플래너의 사용과 관련한 권리를 을에게 부여한다.</t>
  </si>
  <si>
    <t>제3조 [계약기간 및 범위]</t>
  </si>
  <si>
    <t>2) 계약 기간 종료일 30일전까지 갑 또는 을이 상대방에게 계약을 더 이상 연장하지 않겠다는 제시를 하지 않는 경우, 1년 단위로</t>
  </si>
  <si>
    <t>자동 연장한다.</t>
  </si>
  <si>
    <t>제4조 [을의 의무]</t>
  </si>
  <si>
    <t>을은 본 계약상 권리를 이용함에 있어 갑의 명예와 이미지를 손상시키는 행위를 하여서는 아니되고, 관계법령 및 사회상규를 준수하여야 하며,</t>
  </si>
  <si>
    <t>제3자의 권리를 침해하지 아니할 것을 보증한다.</t>
  </si>
  <si>
    <t>제5조 [사용료의 정산]</t>
  </si>
  <si>
    <t>1) 갑은 매월 1일 전까지 아래 내용에 따라 로열티를 산정하여, 을에게 로열티의 지급을 요청한다.</t>
  </si>
  <si>
    <t>단가인상 체크</t>
  </si>
  <si>
    <t xml:space="preserve"> * 로열티 금액 : 3D 홈 플래너 소프트웨어 계정 1개당 65,000원 (VAT별도)</t>
  </si>
  <si>
    <t>※영업지원정책 50% 지원</t>
  </si>
  <si>
    <t xml:space="preserve">  (소프트웨어 계정은 1인당 1계정을 사용하여야 한다.)</t>
  </si>
  <si>
    <t>1인1계정 --- 본사와 아키의 계약 상 1인 1서브계정 사용 조항에 따른 문구 추가</t>
  </si>
  <si>
    <t xml:space="preserve">  지원 후 금액 : 계정당 월 사용료 32,500원(VAT별도)</t>
  </si>
  <si>
    <t>2) 본 조의 내용에도 불구하고 을의 자금 사정 등으로 인해 기한 내에 본 로열티를 지급할 수 없는 경우에는 30일을 초과하지 않는 범위 내에서</t>
  </si>
  <si>
    <t>쌍방이 합의하여 지급일을 조정할 수 있다. 이 경우 을은 지연된 기간에 대한 이자는 부담하지 않는다.</t>
  </si>
  <si>
    <t>3) 갑이 을에 대해 채무를 부담하는 경우 을은 본 조의 로열티 금액에서 해당 채무를 공제한 후 잔액을 지급할 수 있다.</t>
  </si>
  <si>
    <t>4) 계정 중도 해지 시, 갑은 해지 통보 당일까지 포함하여 아래 기준으로 일할 계산하여 을에게 로열티를 청구한다.</t>
  </si>
  <si>
    <t xml:space="preserve"> * 일별 로열티 금액 : 3D 홈 플래너 소프트웨어 계정 1개당 1,000원 (VAT별도, 30일을 기준으로 산정하여 일할 계산)</t>
  </si>
  <si>
    <t xml:space="preserve"> 지원 후 금액 : 계정당 일별 사용료 500원 (VAT별도)</t>
  </si>
  <si>
    <t>5) 계약 이후 을이 신규 계정을 신청했을 경우, 갑은 을의 신청한 월에 한하여 로열티를 무료로 제공한다.</t>
  </si>
  <si>
    <t>제6조 [정보 공유]</t>
  </si>
  <si>
    <t>1) 갑은 을이 본 계약상 권리의 이용을 위해 필요한 자료와 정보를 요청하는 경우, 특별한 사정이 없는 한 가능한 범위 내에서 상호 협의한</t>
  </si>
  <si>
    <t>일정에 따라 이를 제공하여야 한다.</t>
  </si>
  <si>
    <t>2) 을은 갑의 승인을 득한 경우에 한해 갑이 제공한 자료를 제3자에게 공개할 수 있다.</t>
  </si>
  <si>
    <t>제7조 [지식재산권 등]</t>
  </si>
  <si>
    <t>1) 본 계약상 또는 본 계약과 관련하여 갑이 제공하는 도면, 결과물, 제작물 등의 지식재산권은 당사자들 사이에 특별한 약정이 없는 한</t>
  </si>
  <si>
    <t>갑의 소유로 하며, 을은 이를 대리점 계약의 목적 외 다른 용도로 사용해서는 아니 된다.</t>
  </si>
  <si>
    <t>2) 대리점 계약 해지 시, 계약 기간 내의 제작했던 대리점의 설계도면, 가구 배치가 되어있는 창작 업무의 결과물/제작물 등의 지식재산권을</t>
  </si>
  <si>
    <t>본사에게 양도한다.</t>
  </si>
  <si>
    <t>제8조 [비밀유지]</t>
  </si>
  <si>
    <t>1) 을은 본 계약기간 중 본 계약과 관련하여 알게된 갑의 영업빕밀, 기술정보, 자료(이하 "비밀정보"라 함)를 본 계약의 이행을 위해서만</t>
  </si>
  <si>
    <t>사용하여야 하고, 계약기간 종료와 동시에 갑에게 비밀정보를 모두 반환하여야 한다.</t>
  </si>
  <si>
    <t>2) 을은 본 계약기간은 물론 계약기간 종료 후에도 비밀정보를 갑의 사전 서면 승낙 없이 제3자에게 공개 또는 누설하여서는 아니된다.</t>
  </si>
  <si>
    <t>3) 을은 그 임직원 및 관련자로 하여금 본 조의 의무를 부담하도록 하여야 한다.</t>
  </si>
  <si>
    <t>제9조 [계약의 변경]</t>
  </si>
  <si>
    <t>본 계약의 내용은 양 당사자의 사전 서면 합의를 통해서만 변경할 수 있으며, 변경 계약서는 본 계약에 우선하여 효력을 가진다.</t>
  </si>
  <si>
    <t>제10조 [양도의 제한]</t>
  </si>
  <si>
    <t>당자사 일방은 본 계약상의 권리 또는 의무에 대해 상대방의 사전 서면 동의 없이 제3자에게 양도, 이전, 담보제공 등의 일체의</t>
  </si>
  <si>
    <t>처분행위를 할 수 없다.</t>
  </si>
  <si>
    <t>제11조 [불가항력]</t>
  </si>
  <si>
    <t>갑 또는 을은 천재지변, 폭동, 전쟁 등과 같은 불가항력으로 인한 계약상 의무의 불이행 또는 이행지체에 대하여는 상대방에게 책임을</t>
  </si>
  <si>
    <t>부담하지 아니한다. 단, 코로나 등 전염병으로 인한 정부의 규제는 불가항력에 포함되지 않는다.</t>
  </si>
  <si>
    <t>제12조 [계약의 해지]</t>
  </si>
  <si>
    <t>1) 당사자 일방은 상대방에게 다음 각 호의 사유가 발생하는 경우, 상대방에 대한 서면 통지로써 본 계약을 즉시 해지할 수 있다.</t>
  </si>
  <si>
    <t>상대방에게 책임을 부담하지 아니한다. 단, 코로나 등 전염병으로 인한 정부의 규제는 불가항력에 포함되지 않는다.</t>
  </si>
  <si>
    <t>① 상대방의 해산, 청산, 파산, 회생신청 및 이와 유사한 절차의 신청이 있는 경우</t>
  </si>
  <si>
    <t>② 발행한 어음이 부도처분을 받은 경우</t>
  </si>
  <si>
    <t>③ (가)압류, 가처분, 강제집행, 체납처분 또는 이와 유사한 처분을 받는 등 재정적 상태가 악화되어 상대방에 의하여</t>
  </si>
  <si>
    <t xml:space="preserve"> 본 계약의 유지가 어렵다고 판단되는 경우</t>
  </si>
  <si>
    <t>④ 행정관청으로부터 영업정지 또는 영업취소 등의 처분을 받아 본 계약을 이행할 수 없음이 객관적으로 명백한 경우</t>
  </si>
  <si>
    <t>⑤ 상대방의 명예와 이미지 등을 손상시키는 행위를 통해 상대방에게 회복할 수 없는 손해를 끼친 경우</t>
  </si>
  <si>
    <t>2) 본 계약의 당사자는 상대방이 본 계약상의 의무를 위반할 경우 14일의 기간을 정하여 이에 대한 시정을 최고한 후,</t>
  </si>
  <si>
    <t xml:space="preserve"> 동 기간 내에 상대방이 계약상 의무 위반사항을 시정하지 않는 경우 상대방에 대한 서면 통지를 통해 본 계약을 해지할 수 있다.</t>
  </si>
  <si>
    <t>제13조 [손해배상 등]</t>
  </si>
  <si>
    <t xml:space="preserve">당사자 일방이 고의 또는 과실로 본 계약을 위반하여 상대방 또는 제3자에게 손해가 발생한 경우에는, 귀책 사유가 있는 당사자가 </t>
  </si>
  <si>
    <t>즉시 그 손해를 배상하여야 한다. 이 경우, 무책당사자는 손해확대 방지 및 손해배상을 위해 적절한 조치를 취할 수 있으며,</t>
  </si>
  <si>
    <t>이로 인해 발생한 비용을 귀책당사자에게 구상할 수 있다.</t>
  </si>
  <si>
    <t>제14조 [기타]</t>
  </si>
  <si>
    <t>본 계약조항에 관하여 당사자간 해석상 차이가 있는 경우, 규정되지 아니한 부분이 있는 경우 또는 그 의미가 불명확한 경우</t>
  </si>
  <si>
    <t>양 당사자는 협의로써 해결하고, 그렇지 아니하는 경우 민법·상법 등 관련 법규에 따른다.</t>
  </si>
  <si>
    <t>제15조 [분쟁해결]</t>
  </si>
  <si>
    <t>본 계약의 해석이나 이행에 관하여 양 당사자간에 의견차이 또는 분쟁이 발생하는 경우 양 당상자는 원만한 합의를 통해 해결함을</t>
  </si>
  <si>
    <t>원칙으로 하며, 합의가 이루어지지 아니한 경우에는 서울중앙지방법원을 제1심의 전속적 합의관할법원으로 하는 소송에 의해</t>
  </si>
  <si>
    <t>분쟁을 해결한다.</t>
  </si>
  <si>
    <t>상기 계약 내용을 확인, 증명하기 위하여 본 계약서 2통을 작성하여 갑과 을이 서명 또는 날인 후 각각 1부씩 보관한다.</t>
  </si>
  <si>
    <t>동반성장 및 청렴 실천 서약서</t>
  </si>
  <si>
    <t xml:space="preserve">당사는 주식회사 일룸(이하 ‘회사’라고 함)과 거래를 함에 있어, 신뢰를 바탕으로 자율적인 공정거래 </t>
  </si>
  <si>
    <t>질서 확립 및 동반성장을 위해 당사의 임직원과 대리인은 다음의 사항을 서약합니다</t>
  </si>
  <si>
    <t>1. 당사는 입찰, 계약체결 및 계약이행과정에서 회사의 임직원에게 직·간접적으로 금품이나 향응 등 (친인석 등에 대한 부정한</t>
  </si>
  <si>
    <t xml:space="preserve">  취업 제공 포함)의 뇌물 또는 경제적 이익을 제공하기로 약속하거나 제공하지 않겠습니다.</t>
  </si>
  <si>
    <t xml:space="preserve">2. 당사는 회사의 윤리규정 및 당사의 윤리규정에 위반되는 금품 또는 향응, 접대 및 편의를 제공하거나 받지 않겠으며 </t>
  </si>
  <si>
    <t xml:space="preserve">   금전차용, 담보제공 등 경제적 이익을 제공하거나 요구하지 않겠습니다. 당사는 게약체결 및 이행과정에서 회사 및 당사</t>
  </si>
  <si>
    <t xml:space="preserve">   임직원의 비리행위 또는 불공정행위를 발견한 경우 회사에 제보하도록 하겠습니다.</t>
  </si>
  <si>
    <t xml:space="preserve">3. 당사는 공정거래에 관한 법률, 하도급거래 공정화에 관한 법률, 기타 뇌물 방지 관련 법령, 부정경쟁방지 및 영업비밀보호에 </t>
  </si>
  <si>
    <t xml:space="preserve">   관한 법률 등 관련 법규를 준수하고 담합, 허위자료 제출 등의 불공정행위를 하지 않으며 공정하고 투명한 계약이행 및</t>
  </si>
  <si>
    <t xml:space="preserve">   기업 경영을 위하여 노력하겠습니다.</t>
  </si>
  <si>
    <t xml:space="preserve">4. 당사는 임ㆍ직원이 거래관계에서 금품, 향응 등을 제공하거나 담합 등 불공정행위를 하지 않도록 하는 윤리강령과 실전지침 및 </t>
  </si>
  <si>
    <t xml:space="preserve">   내부비리 제보자에 대해서도 일체의 불이익 처분을 하지 않는 사규를 제정토록 노력하겠습니다.당사는 회사가 시행하는 윤리경영,</t>
  </si>
  <si>
    <t xml:space="preserve">   준법경영 프로그램을 이해 및 존중하며 필요한 경우 임직원 교육 등 조치를 강구할 것입니다. </t>
  </si>
  <si>
    <t>5. 당사는 계약이행과정에서 알게 된 성과물 등 특정 정보를 임의로 제3자에게 제공 또는 누설하지 않으며, 공정한 직무수행을 방해하는</t>
  </si>
  <si>
    <t xml:space="preserve">알선ㆍ청탁을 통하여 계약과 관련된 특정 정보의 제공을 요구하거나 받지 않겠습니다. </t>
  </si>
  <si>
    <t>위 서약서는 상호신뢰를 바탕으로 한 약속으로, 당사는 반드시 본 서약 사항을 반드시 준수할 것이며, 만일 이를 위반할 경우</t>
  </si>
  <si>
    <t xml:space="preserve">계약의 취소, 계약해지 또는 향후 일정 기간 동안 회사와의 계약체결 또는 입찰참여 금지, 회사의 손해배상 청구 등의 불이익을 감수할 </t>
  </si>
  <si>
    <t>것이며 이에 대하여 민·형사상 일체의 이의를 제기하지 않겠습니다.</t>
  </si>
  <si>
    <t>대리점유형</t>
  </si>
  <si>
    <t>24년 거래보증금 설정</t>
  </si>
  <si>
    <t>24거래보증금</t>
  </si>
  <si>
    <t>사업자명</t>
  </si>
  <si>
    <t>대표</t>
  </si>
  <si>
    <t>계약시작</t>
  </si>
  <si>
    <t>계약만료</t>
  </si>
  <si>
    <t>메일</t>
  </si>
  <si>
    <t>강릉4</t>
  </si>
  <si>
    <t>B/S-Shop</t>
  </si>
  <si>
    <t>현금</t>
  </si>
  <si>
    <t>이천만원</t>
  </si>
  <si>
    <t>20,000,000원</t>
  </si>
  <si>
    <t>일룸강릉브랜드샵(주)</t>
  </si>
  <si>
    <t>201-86-45638</t>
  </si>
  <si>
    <t>최 종 섭</t>
  </si>
  <si>
    <t>강원 강릉시 율곡로 3190</t>
  </si>
  <si>
    <t>2024년 4월 1일</t>
  </si>
  <si>
    <t>2025년 3월 31일</t>
  </si>
  <si>
    <t>2024년 4월 1일 ~ 2025년 3월 31일</t>
  </si>
  <si>
    <t>gniloom@daum.net</t>
  </si>
  <si>
    <t>거제3</t>
  </si>
  <si>
    <t>(주)일룸거제</t>
  </si>
  <si>
    <t>612-81-48524</t>
  </si>
  <si>
    <t>김 임 숙</t>
  </si>
  <si>
    <t>경남 거제시 수월동 1043-47</t>
  </si>
  <si>
    <t>topnsj@naver.com</t>
  </si>
  <si>
    <t>경주4</t>
  </si>
  <si>
    <t>그린퍼니처</t>
  </si>
  <si>
    <t>505-09-65796</t>
  </si>
  <si>
    <t>신 도 철</t>
  </si>
  <si>
    <t>경북 경주시 원화로468, b동</t>
  </si>
  <si>
    <t>ch9000@hanmail.net</t>
  </si>
  <si>
    <t>구리남양주2</t>
  </si>
  <si>
    <t>보증보험</t>
  </si>
  <si>
    <t>일룸 구리남양주점</t>
  </si>
  <si>
    <t>228-27-00532</t>
  </si>
  <si>
    <t>박 상 근</t>
  </si>
  <si>
    <t>경기 구리시 경춘로 286, 2,3,4층</t>
  </si>
  <si>
    <t>xoghksdls21@naver.com</t>
  </si>
  <si>
    <t>구미5</t>
  </si>
  <si>
    <t>일룸 가구 구미점</t>
  </si>
  <si>
    <t>283-05-01540</t>
  </si>
  <si>
    <t>김관우, 김동윤, 박정애</t>
  </si>
  <si>
    <t>경북 구미시 산업로28길 4</t>
  </si>
  <si>
    <t>ktongyun@hanmail.net</t>
  </si>
  <si>
    <t>김포5</t>
  </si>
  <si>
    <t>일룸김포점</t>
  </si>
  <si>
    <t>137-17-39033</t>
  </si>
  <si>
    <t>장 미 영</t>
  </si>
  <si>
    <t>경기 김포시 풍무동 27-4 1,2층</t>
  </si>
  <si>
    <t>kanges232@naver.com</t>
  </si>
  <si>
    <t>김해2</t>
  </si>
  <si>
    <t>일룸 김해브랜드샵</t>
  </si>
  <si>
    <t>615-17-27736</t>
  </si>
  <si>
    <t>박 효 정</t>
  </si>
  <si>
    <t>경남 김해시 풍유동 47-3</t>
  </si>
  <si>
    <t>iloomju@naver.com</t>
  </si>
  <si>
    <t>달서5</t>
  </si>
  <si>
    <t>일룸달서프리미엄샵</t>
  </si>
  <si>
    <t>514-19-58959</t>
  </si>
  <si>
    <t>서 미 경</t>
  </si>
  <si>
    <t>대구 달서구 조암로 200(유천동)</t>
  </si>
  <si>
    <t>heraseo219@naver.com</t>
  </si>
  <si>
    <t>덕진2</t>
  </si>
  <si>
    <t>일룸 덕진점</t>
  </si>
  <si>
    <t>418-06-94448</t>
  </si>
  <si>
    <t>유 수 정</t>
  </si>
  <si>
    <t>전북 전주시 덕진구 송천중앙로 6</t>
  </si>
  <si>
    <t>eiloom@nate.com</t>
  </si>
  <si>
    <t>마산6</t>
  </si>
  <si>
    <t>퍼시스스마트OPC(극동)</t>
  </si>
  <si>
    <t>608-47-60393</t>
  </si>
  <si>
    <t>강 호 근</t>
  </si>
  <si>
    <t>경남 창원시 마산회원구 봉양로 187(봉암동)</t>
  </si>
  <si>
    <t>smartopc1@naver.com</t>
  </si>
  <si>
    <t>봉선5</t>
  </si>
  <si>
    <t>주식회사 일룸앤데스커</t>
  </si>
  <si>
    <t>408-88-02821</t>
  </si>
  <si>
    <t>조 평 호</t>
  </si>
  <si>
    <t>광주광역시 남구 봉선로 16 (주월동) 1층</t>
  </si>
  <si>
    <t>gagu0512@naver.com</t>
  </si>
  <si>
    <t>부천3</t>
  </si>
  <si>
    <t>일룸 부천점</t>
  </si>
  <si>
    <t>313-36-00088</t>
  </si>
  <si>
    <t>최 민 영</t>
  </si>
  <si>
    <t>경기 부천시 길주로 462</t>
  </si>
  <si>
    <t>2024년 12월 31일</t>
  </si>
  <si>
    <t>2024년 4월 1일 ~ 2024년 12월 31일</t>
  </si>
  <si>
    <t>iloombc@naver.com</t>
  </si>
  <si>
    <t>분당2</t>
  </si>
  <si>
    <t>일룸분당점</t>
  </si>
  <si>
    <t>135-10-97912</t>
  </si>
  <si>
    <t>최 상 헌</t>
  </si>
  <si>
    <t>경기도 성남시 분당구 대왕판교로214</t>
  </si>
  <si>
    <t>csh6797@naver.com</t>
  </si>
  <si>
    <t>빛고을2</t>
  </si>
  <si>
    <t>일룸굿모닝엠에스(주)</t>
  </si>
  <si>
    <t>410-86-88925</t>
  </si>
  <si>
    <t>최 정 우</t>
  </si>
  <si>
    <t>광주 광산구 하남대로 352 3층 일룸빛고을점</t>
  </si>
  <si>
    <t>woowby@naver.com</t>
  </si>
  <si>
    <t>서대전3</t>
  </si>
  <si>
    <t>일룸서대전점2</t>
  </si>
  <si>
    <t>305-29-60452</t>
  </si>
  <si>
    <t>김 영 애</t>
  </si>
  <si>
    <t>대전 중구 중앙로 8 (문화동, 가구갤러리 8층)</t>
  </si>
  <si>
    <t>iloom7052@hanmail.net</t>
  </si>
  <si>
    <t>서산3</t>
  </si>
  <si>
    <t>일룸 서산점</t>
  </si>
  <si>
    <t>310-02-95975</t>
  </si>
  <si>
    <t>김 문 자</t>
  </si>
  <si>
    <t>충남 서산시 서해로 3449(석림동)</t>
  </si>
  <si>
    <t>kmj669@daum.com</t>
  </si>
  <si>
    <t>세종2</t>
  </si>
  <si>
    <t>일룸 세종점</t>
  </si>
  <si>
    <t>760-33-00129</t>
  </si>
  <si>
    <t>박정나, 이상연</t>
  </si>
  <si>
    <t>세종 아름동 1313 정원타워 3,4층</t>
  </si>
  <si>
    <t>daikii@naver.com</t>
  </si>
  <si>
    <t>수성5</t>
  </si>
  <si>
    <t>일룸수성점</t>
  </si>
  <si>
    <t>502-21-75604</t>
  </si>
  <si>
    <t>조진희, 차인호</t>
  </si>
  <si>
    <t>대구 수성구 희망로 152</t>
  </si>
  <si>
    <t>cha25_2000@hanmail.net</t>
  </si>
  <si>
    <t>순천4</t>
  </si>
  <si>
    <t>주식회사 일룸</t>
  </si>
  <si>
    <t>142-88-00388</t>
  </si>
  <si>
    <t>김 대 현</t>
  </si>
  <si>
    <t>전남 순천시 중앙로 118</t>
  </si>
  <si>
    <t>myiloom@naver.com</t>
  </si>
  <si>
    <t>신도림3</t>
  </si>
  <si>
    <t>일룸(신도림 테크노마트점)</t>
  </si>
  <si>
    <t>113-22-86081</t>
  </si>
  <si>
    <t>오 승 균</t>
  </si>
  <si>
    <t>서울 구로구 새말로 97 신도림테크노마트 4층</t>
  </si>
  <si>
    <t>gyun0502@hotmail.com</t>
  </si>
  <si>
    <t>안동5</t>
  </si>
  <si>
    <t>일룸안동점</t>
  </si>
  <si>
    <t>511-08-44988</t>
  </si>
  <si>
    <t>조현주, 박주홍</t>
  </si>
  <si>
    <t>경북 안동시 하이마로 151</t>
  </si>
  <si>
    <t>amaxs@hanmail.net</t>
  </si>
  <si>
    <t>안산상록수2</t>
  </si>
  <si>
    <t>일룸안산상록수점</t>
  </si>
  <si>
    <t>207-04-55609</t>
  </si>
  <si>
    <t>노 금 철</t>
  </si>
  <si>
    <t>경기 안산시 상록구 용신로 451-1(본오동,1,2층)</t>
  </si>
  <si>
    <t>iloomansan@hanmail.net</t>
  </si>
  <si>
    <t>양산3</t>
  </si>
  <si>
    <t>일룸양산점</t>
  </si>
  <si>
    <t>463-03-00712</t>
  </si>
  <si>
    <t>남 명 현</t>
  </si>
  <si>
    <t>경남 양산시 물금읍 황산로 497</t>
  </si>
  <si>
    <t>godid56@nate.com</t>
  </si>
  <si>
    <t>연제4</t>
  </si>
  <si>
    <t>(주)일룸연제점</t>
  </si>
  <si>
    <t>388-87-01424</t>
  </si>
  <si>
    <t>이 철 희</t>
  </si>
  <si>
    <t>부산 연제구 거제대로 297, 2~3층</t>
  </si>
  <si>
    <t>auk0903@naver.com</t>
  </si>
  <si>
    <t>원주3</t>
  </si>
  <si>
    <t>일룸원주점</t>
  </si>
  <si>
    <t>224-07-71963</t>
  </si>
  <si>
    <t>이 정 복</t>
  </si>
  <si>
    <t>강원 원주시 호저면 원문로 668-9 만종가구단지 2층</t>
  </si>
  <si>
    <t>jungbok35@daum.net</t>
  </si>
  <si>
    <t>의왕2</t>
  </si>
  <si>
    <t>일룸의왕점</t>
  </si>
  <si>
    <t>123-09-37161</t>
  </si>
  <si>
    <t>남 창 현</t>
  </si>
  <si>
    <t>경기 의왕시 경수대로 411</t>
  </si>
  <si>
    <t>nch4399@naver.com</t>
  </si>
  <si>
    <t>의정부8</t>
  </si>
  <si>
    <t>일룸의정부브랜드샵</t>
  </si>
  <si>
    <t>550-88-00221</t>
  </si>
  <si>
    <t>이 경 숙</t>
  </si>
  <si>
    <t>경기 의정부시 민락로 397</t>
  </si>
  <si>
    <t>jail5775@hanmail.net</t>
  </si>
  <si>
    <t>인천중앙2</t>
  </si>
  <si>
    <t>(주)알루컴 인천점</t>
  </si>
  <si>
    <t>105-85-41701</t>
  </si>
  <si>
    <t>이 종 균</t>
  </si>
  <si>
    <t>인천 남동구 인주대로 644</t>
  </si>
  <si>
    <t>ff1001@nate.com</t>
  </si>
  <si>
    <t>일산킨텍스</t>
  </si>
  <si>
    <t>(주)플랜 디</t>
  </si>
  <si>
    <t>670-81-01506</t>
  </si>
  <si>
    <t>김정은, 안중협</t>
  </si>
  <si>
    <t>경기도 고양시 일산서구 탄중로 120, 1~2동(덕이동)</t>
  </si>
  <si>
    <t>garnet212@naver.com</t>
  </si>
  <si>
    <t>전군2</t>
  </si>
  <si>
    <t>일룸전군점</t>
  </si>
  <si>
    <t>403-03-30193</t>
  </si>
  <si>
    <t>안 상 준</t>
  </si>
  <si>
    <t>전북 김제시 백구면 영상3길 28-26</t>
  </si>
  <si>
    <t>iloom4200@naver.com</t>
  </si>
  <si>
    <t>중화산4</t>
  </si>
  <si>
    <t>일룸중화산점</t>
  </si>
  <si>
    <t>402-20-78721</t>
  </si>
  <si>
    <t>양 유 진</t>
  </si>
  <si>
    <t>전북 전주시 완산구 중화산동2가 528-6</t>
  </si>
  <si>
    <t>power5550@hanmail.net</t>
  </si>
  <si>
    <t>진주2</t>
  </si>
  <si>
    <t>일룸진주점</t>
  </si>
  <si>
    <t>613-06-76176</t>
  </si>
  <si>
    <t>김지융, 김현실</t>
  </si>
  <si>
    <t>경남 진주시 진주대로 638(가좌동)</t>
  </si>
  <si>
    <t>rlduql_par@naver.com</t>
  </si>
  <si>
    <t>창원3</t>
  </si>
  <si>
    <t>(주)창원퍼시스</t>
  </si>
  <si>
    <t>609-81-43386</t>
  </si>
  <si>
    <t>정 진 환</t>
  </si>
  <si>
    <t>경상남도 창원시 의창구 창원대로 360</t>
  </si>
  <si>
    <t>fursyschangwon@daum.net</t>
  </si>
  <si>
    <t>천안불당3</t>
  </si>
  <si>
    <t>일룸천안불당점</t>
  </si>
  <si>
    <t>416-22-25834</t>
  </si>
  <si>
    <t>김은미, 김정숙</t>
  </si>
  <si>
    <t>충남 천안시 서북구 검은들3길 36 (불당동)</t>
  </si>
  <si>
    <t>skylove2809@hanmail.net</t>
  </si>
  <si>
    <t>청남3</t>
  </si>
  <si>
    <t>일룸청남점</t>
  </si>
  <si>
    <t>745-10-00252</t>
  </si>
  <si>
    <t>박 종 상</t>
  </si>
  <si>
    <t>충북 청주시 서원구 남이면 가구단지길 21-3 청남가구단지 105호</t>
  </si>
  <si>
    <t>brqok@naver.com</t>
  </si>
  <si>
    <t>청주6</t>
  </si>
  <si>
    <t>(주)조은파트너스</t>
  </si>
  <si>
    <t>335-87-02787</t>
  </si>
  <si>
    <t>최 현 수</t>
  </si>
  <si>
    <t>충북 청주시 상당구 용암동 1587</t>
  </si>
  <si>
    <t>soh0001@naver.com</t>
  </si>
  <si>
    <t>청주중앙4</t>
  </si>
  <si>
    <t>(주)일룸청주중앙점</t>
  </si>
  <si>
    <t>785-86-00352</t>
  </si>
  <si>
    <t>함 지 연</t>
  </si>
  <si>
    <t>충북 청주시 흥덕구 강서로 55, 2층</t>
  </si>
  <si>
    <t>iloom1@nate.com</t>
  </si>
  <si>
    <t>춘천3</t>
  </si>
  <si>
    <t>퍼시스춘천전시장</t>
  </si>
  <si>
    <t>221-02-56686</t>
  </si>
  <si>
    <t>이 신 구</t>
  </si>
  <si>
    <t>강원 춘천시 동면 만천리 700번지</t>
  </si>
  <si>
    <t>2620077@naver.com</t>
  </si>
  <si>
    <t>태릉묵동6</t>
  </si>
  <si>
    <t>(주)아이룸텍</t>
  </si>
  <si>
    <t>778-87-02591</t>
  </si>
  <si>
    <t>오 중 현</t>
  </si>
  <si>
    <t>서울 중랑구 동일로 898</t>
  </si>
  <si>
    <t>2025년 3월 9일</t>
  </si>
  <si>
    <t>2024년 4월 1일 ~ 2025년 3월 9일</t>
  </si>
  <si>
    <t>to7887@nate.com</t>
  </si>
  <si>
    <t>평택4</t>
  </si>
  <si>
    <t>코티지</t>
  </si>
  <si>
    <t>120-87-13514</t>
  </si>
  <si>
    <t>김 은 미</t>
  </si>
  <si>
    <t>경기 안성시 공도읍 서동대로 3924, 102호</t>
  </si>
  <si>
    <t>eiloom26@naver.com</t>
  </si>
  <si>
    <t>포항2</t>
  </si>
  <si>
    <t>일룸포항점</t>
  </si>
  <si>
    <t>506-04-65571</t>
  </si>
  <si>
    <t>김 미 경</t>
  </si>
  <si>
    <t>경북 포항시 북구 환호로 75</t>
  </si>
  <si>
    <t>hnhhnhh@hanmail.net</t>
  </si>
  <si>
    <t>포항중앙2</t>
  </si>
  <si>
    <t>일룸포항중앙점</t>
  </si>
  <si>
    <t>506-14-15162</t>
  </si>
  <si>
    <t>신 현 정</t>
  </si>
  <si>
    <t>경북 포항시 북구 중흥로213번길 49</t>
  </si>
  <si>
    <t>shjj_2000@hanmail.net</t>
  </si>
  <si>
    <t>하단3</t>
  </si>
  <si>
    <t>일룸부산하단점</t>
  </si>
  <si>
    <t>617-29-91066</t>
  </si>
  <si>
    <t>우 영 숙</t>
  </si>
  <si>
    <t>부산광역시 사하구 낙동남로 1359 (하단동)</t>
  </si>
  <si>
    <t>kwonweb@hanmail.co.kr</t>
  </si>
  <si>
    <t>LXH목동</t>
  </si>
  <si>
    <t>투자형 B-Shop (로드)</t>
  </si>
  <si>
    <t>일룸 홈플러스강서점</t>
  </si>
  <si>
    <t>493-27-00631</t>
  </si>
  <si>
    <t>구 현 정</t>
  </si>
  <si>
    <t>서울 강서구 화곡로 398, 3층 일룸 홈플러스 강서점</t>
  </si>
  <si>
    <t>rainyday0308@naver.com</t>
  </si>
  <si>
    <t>LXH창원</t>
  </si>
  <si>
    <t>강동6</t>
  </si>
  <si>
    <t>일룸강동점</t>
  </si>
  <si>
    <t>633-29-00529</t>
  </si>
  <si>
    <t>장 규 호</t>
  </si>
  <si>
    <t>서울 강동구 천호대로 1136</t>
  </si>
  <si>
    <t>iloomsongpa@gmail.com</t>
  </si>
  <si>
    <t>광천5</t>
  </si>
  <si>
    <t>일룸 광천점</t>
  </si>
  <si>
    <t>410-03-23351</t>
  </si>
  <si>
    <t>광주광역시 서구 무진대로 956(농성동, 퍼시스광주센터)</t>
  </si>
  <si>
    <t>2025년 1월 1일</t>
  </si>
  <si>
    <t>2025년 1월 1일 ~ 2025년 3월 31일</t>
  </si>
  <si>
    <t>gagu1110@naver.com</t>
  </si>
  <si>
    <t>대전도안3</t>
  </si>
  <si>
    <t>일룸 도안3점</t>
  </si>
  <si>
    <t>314-27-63783</t>
  </si>
  <si>
    <t>류 대 열</t>
  </si>
  <si>
    <t>대전 서구 가수원동 1061 리더스프라자 B동 2~3층</t>
  </si>
  <si>
    <t>kianadol@naver.com</t>
  </si>
  <si>
    <t>안양</t>
  </si>
  <si>
    <t>일룸 안양점</t>
  </si>
  <si>
    <t>334-37-00928</t>
  </si>
  <si>
    <t>윤 기 언</t>
  </si>
  <si>
    <t>경기도 안양시 만안구 안양로 238</t>
  </si>
  <si>
    <t>yke69@naver.com</t>
  </si>
  <si>
    <t>울산4</t>
  </si>
  <si>
    <t>일룸 울산점</t>
  </si>
  <si>
    <t>301-45-04477</t>
  </si>
  <si>
    <t>조 정 혁</t>
  </si>
  <si>
    <t>울산 남구 삼산로 361</t>
  </si>
  <si>
    <t>gorgeouc@naver.com</t>
  </si>
  <si>
    <t>인천검단</t>
  </si>
  <si>
    <t>일룸 인천 검단점</t>
  </si>
  <si>
    <t>872-03-02670</t>
  </si>
  <si>
    <t>유 종 규</t>
  </si>
  <si>
    <t>인천 서구 원당대로 847, 4층</t>
  </si>
  <si>
    <t>manwxyiloom@hanmail.net</t>
  </si>
  <si>
    <t>제주5</t>
  </si>
  <si>
    <t>천안신방3</t>
  </si>
  <si>
    <t>일룸천안신방점</t>
  </si>
  <si>
    <t>312-20-61970</t>
  </si>
  <si>
    <t>이 준 범</t>
  </si>
  <si>
    <t>충남 천안시 동남구 신촌로 6, 2층</t>
  </si>
  <si>
    <t>co2nonia@nate.com</t>
  </si>
  <si>
    <t>강서2</t>
  </si>
  <si>
    <t>투자형 B-Shop (입점)</t>
  </si>
  <si>
    <t>2024년 7월 9일</t>
  </si>
  <si>
    <t>2024년 4월 1일 ~ 2024년 7월 9일</t>
  </si>
  <si>
    <t>기흥4</t>
  </si>
  <si>
    <t>일룸 기흥점</t>
  </si>
  <si>
    <t>213-26-00566</t>
  </si>
  <si>
    <t>호 현 숙</t>
  </si>
  <si>
    <t>경기 용인시 기흥구 신고매로 59 리빙파워센터 B2</t>
  </si>
  <si>
    <t>mitch1579@gmail.com</t>
  </si>
  <si>
    <t>롯데광명</t>
  </si>
  <si>
    <t>일룸 롯데광명점</t>
  </si>
  <si>
    <t>215-22-64855</t>
  </si>
  <si>
    <t>조 선 영</t>
  </si>
  <si>
    <t>경기 광명시 일직로 17 롯데프리미엄아울렛 광명점 4층</t>
  </si>
  <si>
    <t>2024년 7월 23일</t>
  </si>
  <si>
    <t>2024년 4월 1일 ~ 2024년 7월 23일</t>
  </si>
  <si>
    <t>cholhong73@hanmail.net</t>
  </si>
  <si>
    <t>롯데동부산2</t>
  </si>
  <si>
    <t>일룸 롯데동부산점</t>
  </si>
  <si>
    <t>710-50-00456</t>
  </si>
  <si>
    <t>안 율</t>
  </si>
  <si>
    <t>부산 기장군 동부산관광로 8 메종동부산 롯데몰동부산점 B동 1층</t>
  </si>
  <si>
    <t>ld5yul@hanmail.net</t>
  </si>
  <si>
    <t>롯데동탄2</t>
  </si>
  <si>
    <t>일룸 롯데동탄점</t>
  </si>
  <si>
    <t>836-07-02556</t>
  </si>
  <si>
    <t>박 철 홍</t>
  </si>
  <si>
    <t>경기도 화성시 동탄역로 160, 4층(오산동, 롯데백화점)</t>
  </si>
  <si>
    <t>2024년 8월 31일</t>
  </si>
  <si>
    <t>2024년 4월 1일 ~ 2024년 8월 31일</t>
  </si>
  <si>
    <t>롯데청량리</t>
  </si>
  <si>
    <t>2025년 2월 28일</t>
  </si>
  <si>
    <t>2024년 4월 1일 ~ 2025년 2월 28일</t>
  </si>
  <si>
    <t>롯데평촌</t>
  </si>
  <si>
    <t>일룸평촌전시장</t>
  </si>
  <si>
    <t>138-10-79418</t>
  </si>
  <si>
    <t>황 봉 국</t>
  </si>
  <si>
    <t>경기도 안양시 동안구 시민대로 180, 6층(호계동, 롯데백화점 평촌점)</t>
  </si>
  <si>
    <t>bkhwang4600@naver.com</t>
  </si>
  <si>
    <t>송도4</t>
  </si>
  <si>
    <t>스타필드고양</t>
  </si>
  <si>
    <t>페드라(일룸 스타필드고양)</t>
  </si>
  <si>
    <t>경기도 고양시 덕양구 고양대로 1955, b1층</t>
  </si>
  <si>
    <t>ajw7609@naver.com</t>
  </si>
  <si>
    <t>스타필드수원(6층)</t>
  </si>
  <si>
    <t>주식회사 일룸수원중앙점</t>
  </si>
  <si>
    <t>609-87-00128</t>
  </si>
  <si>
    <t>석 옥 련</t>
  </si>
  <si>
    <t>경기 수원시 장안구 수성로 175, 6층 6210호(정자동, 스타필드수원)</t>
  </si>
  <si>
    <t>do0815@hanmail.net</t>
  </si>
  <si>
    <t>스타필드수원키즈(3층)</t>
  </si>
  <si>
    <t>신세계대전</t>
  </si>
  <si>
    <t>2024년 5월 31일</t>
  </si>
  <si>
    <t>2024년 4월 1일 ~ 2024년 5월 31일</t>
  </si>
  <si>
    <t>신세계시흥</t>
  </si>
  <si>
    <t>일룸신세계시흥점</t>
  </si>
  <si>
    <t>133-11-84607</t>
  </si>
  <si>
    <t>정 혜 진</t>
  </si>
  <si>
    <t>경기도 시흥시 서해안로 699, 2층 2921호(정왕동, 시흥프리미엄아울렛)</t>
  </si>
  <si>
    <t>snsla0325@naver.com</t>
  </si>
  <si>
    <t>신세계파주2</t>
  </si>
  <si>
    <t>토호드</t>
  </si>
  <si>
    <t>837-15-00255</t>
  </si>
  <si>
    <t>안 중 협</t>
  </si>
  <si>
    <t>경기도 고양시 일산동구 월드고양로 102-33, 2층</t>
  </si>
  <si>
    <t>2503대리점</t>
  </si>
  <si>
    <t>영업담당</t>
  </si>
  <si>
    <t>24 유통망구분</t>
  </si>
  <si>
    <t>특이사항</t>
  </si>
  <si>
    <t>25체결기준</t>
  </si>
  <si>
    <t>25계약 챙길부분</t>
  </si>
  <si>
    <t>계약체결</t>
  </si>
  <si>
    <t>김지수</t>
  </si>
  <si>
    <t>행 레이블</t>
  </si>
  <si>
    <t>개수 : 계약체결</t>
  </si>
  <si>
    <t>롯데미아</t>
  </si>
  <si>
    <t>새로생김</t>
  </si>
  <si>
    <t>b/s-shop (입점)</t>
  </si>
  <si>
    <t>임대차</t>
  </si>
  <si>
    <t>유형변경</t>
  </si>
  <si>
    <t>ㅇ</t>
  </si>
  <si>
    <t>신세계대전(팝업)</t>
  </si>
  <si>
    <t>왜지</t>
  </si>
  <si>
    <t>김효진</t>
  </si>
  <si>
    <t>서다솔</t>
  </si>
  <si>
    <t>롯데영등포</t>
  </si>
  <si>
    <t>롯데인천(팝업)</t>
  </si>
  <si>
    <t>신세계시흥2</t>
  </si>
  <si>
    <t>이광호</t>
  </si>
  <si>
    <t>거제4</t>
  </si>
  <si>
    <t>롯데광복2</t>
  </si>
  <si>
    <t>조성진</t>
  </si>
  <si>
    <t>롯데안산(팝업)</t>
  </si>
  <si>
    <t>조아라</t>
  </si>
  <si>
    <t>(비어 있음)</t>
  </si>
  <si>
    <t>총합계</t>
  </si>
  <si>
    <t>26년 거래보증금 설정</t>
  </si>
  <si>
    <t>26거래보증금</t>
  </si>
  <si>
    <t>2026년 4월 1일</t>
  </si>
  <si>
    <t>2027년 3월 31일</t>
  </si>
  <si>
    <t>2026년 12월 31일</t>
  </si>
  <si>
    <t>빛고을3</t>
  </si>
  <si>
    <t>서산4</t>
  </si>
  <si>
    <t>123-47-01118</t>
  </si>
  <si>
    <t>김 정 남</t>
  </si>
  <si>
    <t>충청남도 서산시 서해로 3449(석림동)</t>
  </si>
  <si>
    <t>2026년 9월 16일</t>
  </si>
  <si>
    <t>울산5</t>
  </si>
  <si>
    <t>울산광역시 남구 삼산로 361(삼산동)</t>
  </si>
  <si>
    <t>평택5</t>
  </si>
  <si>
    <t>와이더블유 퍼니처</t>
  </si>
  <si>
    <t>287-03-03982</t>
  </si>
  <si>
    <t>오 용 택</t>
  </si>
  <si>
    <t>경기도 안성시 공도읍 서동대로 3924</t>
  </si>
  <si>
    <t>NC대전유성</t>
  </si>
  <si>
    <t>대전광역시 유성구 계룡로 119, 7층(봉명동)</t>
  </si>
  <si>
    <t>2026년 7월 31일</t>
  </si>
  <si>
    <t>롯데구리</t>
  </si>
  <si>
    <t>2027년 1월 31일</t>
  </si>
  <si>
    <t>롯데수지</t>
  </si>
  <si>
    <t>주식회사 훈앤홈</t>
  </si>
  <si>
    <t>659-87-03358</t>
  </si>
  <si>
    <t>이 상 훈</t>
  </si>
  <si>
    <t>경기도 용인시 수지구 성복2로 38, 3층(성복동, 롯데몰 수지점)</t>
  </si>
  <si>
    <t>2026년 4월 30일</t>
  </si>
  <si>
    <t>2026년 5월 02일</t>
  </si>
  <si>
    <t>롯데인천</t>
  </si>
  <si>
    <t>2026년 5월 31일</t>
  </si>
  <si>
    <t>입점BS</t>
  </si>
  <si>
    <t>현대중동</t>
  </si>
  <si>
    <t>2026년 4월 23일</t>
  </si>
  <si>
    <t>기흥5</t>
  </si>
  <si>
    <t>일룸 리빙파워센터 기흥점</t>
  </si>
  <si>
    <t>경기도 용인시 기흥구 신고매로 59, B2층(고매동, 리빙파워센터)</t>
  </si>
  <si>
    <t>롯데광명2</t>
  </si>
  <si>
    <t>897-38-01497</t>
  </si>
  <si>
    <t>김 민 아</t>
  </si>
  <si>
    <t>경기도 광명시 일직로 17, 4층(일직동, 이케아광명점, 롯데아울렛)</t>
  </si>
  <si>
    <t>2026년 6월 30일</t>
  </si>
  <si>
    <t>송도5</t>
  </si>
  <si>
    <t>2026년 8월 31일</t>
  </si>
  <si>
    <t>2027년 1월 25일</t>
  </si>
  <si>
    <t>송도5로 바뀜</t>
  </si>
  <si>
    <t>2026년 5월 10일</t>
  </si>
  <si>
    <t>담당자</t>
  </si>
  <si>
    <t>사업소</t>
  </si>
  <si>
    <t>유형</t>
  </si>
  <si>
    <t>평수
(계약면적)</t>
  </si>
  <si>
    <t>TEL</t>
  </si>
  <si>
    <t>매장코드</t>
  </si>
  <si>
    <t>최지연</t>
  </si>
  <si>
    <t>대구</t>
  </si>
  <si>
    <t>S</t>
  </si>
  <si>
    <t>054-744-1117</t>
  </si>
  <si>
    <t>61LM70</t>
  </si>
  <si>
    <t>경상북도 경주시 원화로468</t>
  </si>
  <si>
    <t>신도철</t>
  </si>
  <si>
    <t>B</t>
  </si>
  <si>
    <t>054-454-6456</t>
  </si>
  <si>
    <t>61LM71</t>
  </si>
  <si>
    <t>경상북도 구미시 산업로28길 4</t>
  </si>
  <si>
    <t>김동윤</t>
  </si>
  <si>
    <t>053-623-8924</t>
  </si>
  <si>
    <t>61LM07</t>
  </si>
  <si>
    <t>대구광역시 달서구 조암로 200 2층~4층</t>
  </si>
  <si>
    <t>서미경</t>
  </si>
  <si>
    <t>053-753-6060</t>
  </si>
  <si>
    <t>61LM75</t>
  </si>
  <si>
    <t>대구광역시 수성구 희망로 152</t>
  </si>
  <si>
    <t>조진희</t>
  </si>
  <si>
    <t>054-858-4332</t>
  </si>
  <si>
    <t>61LM76</t>
  </si>
  <si>
    <t>경상북도 안동시 하이마로 151</t>
  </si>
  <si>
    <t>조현주</t>
  </si>
  <si>
    <t>054-249-1358</t>
  </si>
  <si>
    <t>61LM80</t>
  </si>
  <si>
    <t>경상북도 포항시 북구 환호로 75</t>
  </si>
  <si>
    <t>홍정기</t>
  </si>
  <si>
    <t>054-274-6400</t>
  </si>
  <si>
    <t>61LM81</t>
  </si>
  <si>
    <t>경상북도 포항시 북구 중흥로213번길 49</t>
  </si>
  <si>
    <t>신현정</t>
  </si>
  <si>
    <t>경기</t>
  </si>
  <si>
    <t>투자형B</t>
  </si>
  <si>
    <t>02-6951-2528</t>
  </si>
  <si>
    <t>경기도 고양시 덕양구 고양대로 1955 스타필드고양 지하1층</t>
  </si>
  <si>
    <t>안중우</t>
  </si>
  <si>
    <t>031-8071-7475</t>
  </si>
  <si>
    <t>62LM01</t>
  </si>
  <si>
    <t>경기도 파주시 탄현면 필승로 200, 신세계파주 프리미엄 아울렛 3층</t>
  </si>
  <si>
    <t>김정은</t>
  </si>
  <si>
    <t>031-903-0233</t>
  </si>
  <si>
    <t>62LM08</t>
  </si>
  <si>
    <t>경기도 고양시 일산동구 월드고양로 102-33</t>
  </si>
  <si>
    <t>채선경</t>
  </si>
  <si>
    <t>02-6226-2490</t>
  </si>
  <si>
    <t>61LM90</t>
  </si>
  <si>
    <t>경기도 광명시 일직로 17, 롯데프리미엄아울렛 광명점 4층</t>
  </si>
  <si>
    <t>박철홍</t>
  </si>
  <si>
    <t>031-501-2199</t>
  </si>
  <si>
    <t>61LM25</t>
  </si>
  <si>
    <t>경기도 안산시 상록구 용신로 451-1</t>
  </si>
  <si>
    <t>장정윤</t>
  </si>
  <si>
    <t>031-468-9600</t>
  </si>
  <si>
    <t>62LM04</t>
  </si>
  <si>
    <t>윤기언</t>
  </si>
  <si>
    <t>031-281-3202</t>
  </si>
  <si>
    <t>61LM86</t>
  </si>
  <si>
    <t>경기도 용인시 기흥구 신고매로 59 리빙파워센터 B2</t>
  </si>
  <si>
    <t>이명수</t>
  </si>
  <si>
    <t>031-8036-3634</t>
  </si>
  <si>
    <t>경기도 화성시 동탄역로 160 롯데백화점 동탄점 4층</t>
  </si>
  <si>
    <t>031-8086-9624</t>
  </si>
  <si>
    <t>62LM17</t>
  </si>
  <si>
    <t>경기도 안양시 동안구 시민대로 180, 롯데백화점 6층</t>
  </si>
  <si>
    <t>황봉국</t>
  </si>
  <si>
    <t>롯데의왕</t>
  </si>
  <si>
    <t>031-329-4059</t>
  </si>
  <si>
    <t>IL0009</t>
  </si>
  <si>
    <t>경기도 의왕시 바라산로 1(학의동) 롯데프리미엄아울렛 의왕점</t>
  </si>
  <si>
    <t>031-726-7003</t>
  </si>
  <si>
    <t>61LM17</t>
  </si>
  <si>
    <t>최상헌</t>
  </si>
  <si>
    <t>031-656-8666</t>
  </si>
  <si>
    <t>IL0015</t>
  </si>
  <si>
    <t>경기도 안성시 공도읍 진사리 10-3</t>
  </si>
  <si>
    <t>오용택</t>
  </si>
  <si>
    <t>031-690-1630</t>
  </si>
  <si>
    <t>경기도 수원시 장안구 수성로 175 (정자동), 스타필드수원 6층</t>
  </si>
  <si>
    <t>석옥련</t>
  </si>
  <si>
    <t>031-690-1352</t>
  </si>
  <si>
    <t>경기도 수원시 장안구 수성로 175 (정자동), 스타필드수원키즈 3층</t>
  </si>
  <si>
    <t>010-4255-6255</t>
  </si>
  <si>
    <t>IL0019</t>
  </si>
  <si>
    <t>경기도 용인시 수지구 성복2로 38 롯데몰 수지점 3층</t>
  </si>
  <si>
    <t>이상훈</t>
  </si>
  <si>
    <t>010-5625-1902</t>
  </si>
  <si>
    <t>62LM30</t>
  </si>
  <si>
    <t>경기도 안산시 단원구 고잔1길 12 롯데백화점안산점 신관 3층</t>
  </si>
  <si>
    <t>최하은</t>
  </si>
  <si>
    <t>서울</t>
  </si>
  <si>
    <t>02-3707-1621</t>
  </si>
  <si>
    <t>62LM15</t>
  </si>
  <si>
    <t>서울특별시 동대문구 왕산로 214, 롯데백화점 청량리점 6층</t>
  </si>
  <si>
    <t>오중현</t>
  </si>
  <si>
    <t>02-944-2871</t>
  </si>
  <si>
    <t>62LM34</t>
  </si>
  <si>
    <t>서울특별시 강북구 도봉로 62 롯데백화점미아점 8층</t>
  </si>
  <si>
    <t>대전</t>
  </si>
  <si>
    <t>042-542-1625</t>
  </si>
  <si>
    <t>61LM14</t>
  </si>
  <si>
    <t>대전광역시 서구 가수원동 1061 리더스프라자 B동 2~3층</t>
  </si>
  <si>
    <t>류대열</t>
  </si>
  <si>
    <t>042-223-3800</t>
  </si>
  <si>
    <t>61LM51</t>
  </si>
  <si>
    <t>대전광역시 중구 중앙로 8, 가구갤러리 6층</t>
  </si>
  <si>
    <t>김영애</t>
  </si>
  <si>
    <t>041-668-4006</t>
  </si>
  <si>
    <t>62LM60</t>
  </si>
  <si>
    <t>충청남도 서산시 서해로 3449</t>
  </si>
  <si>
    <t>김정남</t>
  </si>
  <si>
    <t>044-863-9939</t>
  </si>
  <si>
    <t>61LM53</t>
  </si>
  <si>
    <t>세종특별자치시 세종로 1232 정원타워 3층, 4층</t>
  </si>
  <si>
    <t>박정나</t>
  </si>
  <si>
    <t>041-575-8985</t>
  </si>
  <si>
    <t>61LM55</t>
  </si>
  <si>
    <t>충청남도 천안시 동남구 신방동 787-5</t>
  </si>
  <si>
    <t>이준범</t>
  </si>
  <si>
    <t>041-577-4585</t>
  </si>
  <si>
    <t>61LM54</t>
  </si>
  <si>
    <t>충청남도 천안시 불당동 719번지</t>
  </si>
  <si>
    <t>김은미</t>
  </si>
  <si>
    <t>043-269-3534</t>
  </si>
  <si>
    <t>61LM56</t>
  </si>
  <si>
    <t>충청북도 청주시 서원구 남이면 가구단지길 21-3 청남가구단지 105호</t>
  </si>
  <si>
    <t>박종상</t>
  </si>
  <si>
    <t>043-267-1616</t>
  </si>
  <si>
    <t>61LM57</t>
  </si>
  <si>
    <t>충청북도 청주시 상당구 용암동 1587</t>
  </si>
  <si>
    <t>최현수</t>
  </si>
  <si>
    <t>043-231-3881</t>
  </si>
  <si>
    <t>61LM58</t>
  </si>
  <si>
    <t>충청북도 청주시 흥덕구 강서동 123-5 2층</t>
  </si>
  <si>
    <t>함지연</t>
  </si>
  <si>
    <t>010-4206-3476</t>
  </si>
  <si>
    <t>62LM14</t>
  </si>
  <si>
    <t>대전광역시 유성구 엑스포로 1 (도룡동) 신세계백화점 대전점 7층</t>
  </si>
  <si>
    <t>042-332-0385</t>
  </si>
  <si>
    <t>IL0003</t>
  </si>
  <si>
    <t>대전광역시 유성구 계룡로 119(봉명동) 7층</t>
  </si>
  <si>
    <t>광주</t>
  </si>
  <si>
    <t>062-361-8761</t>
  </si>
  <si>
    <t>61LM15</t>
  </si>
  <si>
    <t>광주광역시 서구 무진대로 956, 퍼시스 광주센터 1층, 2층</t>
  </si>
  <si>
    <t>조평호</t>
  </si>
  <si>
    <t>063-252-1616</t>
  </si>
  <si>
    <t>61LM60</t>
  </si>
  <si>
    <t>전라북도 전주시 덕진구 송천중앙로 6</t>
  </si>
  <si>
    <t>유수정</t>
  </si>
  <si>
    <t>062-651-7733</t>
  </si>
  <si>
    <t>61LM62</t>
  </si>
  <si>
    <t>광주광역시 남구 봉선로 16</t>
  </si>
  <si>
    <t>062-528-9700</t>
  </si>
  <si>
    <t>61LM63</t>
  </si>
  <si>
    <t>광주광역시 광산구 하남대로 352 3층 일룸빛고을점</t>
  </si>
  <si>
    <t>최정우</t>
  </si>
  <si>
    <t>061-752-5061</t>
  </si>
  <si>
    <t>61LM64</t>
  </si>
  <si>
    <t>전라남도 순천시 중앙로 118</t>
  </si>
  <si>
    <t>김서영</t>
  </si>
  <si>
    <t>롯데몰여수(팝업)</t>
  </si>
  <si>
    <t>061-689-2338</t>
  </si>
  <si>
    <t>IL0002</t>
  </si>
  <si>
    <t>전남 여수시 국포1로 36 롯데몰여수점 2층</t>
  </si>
  <si>
    <t>063-546-5200</t>
  </si>
  <si>
    <t>61LM65</t>
  </si>
  <si>
    <t>전라북도 김제시 백구면 영상3길 28-26</t>
  </si>
  <si>
    <t>전희숙</t>
  </si>
  <si>
    <t>063-225-0558</t>
  </si>
  <si>
    <t>61LM67</t>
  </si>
  <si>
    <t>전라북도 전주시 완산구 중화산동2가 528-6</t>
  </si>
  <si>
    <t>양유진</t>
  </si>
  <si>
    <t>064-805-0016</t>
  </si>
  <si>
    <t>제주특별자치도 제주시 연삼로 252</t>
  </si>
  <si>
    <t>033-647-1645</t>
  </si>
  <si>
    <t>61LM69</t>
  </si>
  <si>
    <t>강원도 강릉시 율곡로 3190</t>
  </si>
  <si>
    <t>최종섭</t>
  </si>
  <si>
    <t>033-747-4959</t>
  </si>
  <si>
    <t>61LM77</t>
  </si>
  <si>
    <t>강원도 원주시 호저면 원문로 668-9 만종가구단지 2층</t>
  </si>
  <si>
    <t>이정복</t>
  </si>
  <si>
    <t>033-262-0077</t>
  </si>
  <si>
    <t>61LM79</t>
  </si>
  <si>
    <t>강원도 춘천시 동면 만천리 700번지</t>
  </si>
  <si>
    <t>이신구</t>
  </si>
  <si>
    <t>부산</t>
  </si>
  <si>
    <t>052-261-7579</t>
  </si>
  <si>
    <t>IL0013</t>
  </si>
  <si>
    <t>울산광역시 남구 삼산로 361</t>
  </si>
  <si>
    <t>조정혁</t>
  </si>
  <si>
    <t>055-636-9399</t>
  </si>
  <si>
    <t>62LM39</t>
  </si>
  <si>
    <t>경상남도 거제시 수양로 454-40, 2층</t>
  </si>
  <si>
    <t>안율</t>
  </si>
  <si>
    <t>055-332-1042</t>
  </si>
  <si>
    <t>61LM37</t>
  </si>
  <si>
    <t>경상남도 김해시 금관대로 1053</t>
  </si>
  <si>
    <t>박효정</t>
  </si>
  <si>
    <t>051-901-2355</t>
  </si>
  <si>
    <t>61LM88</t>
  </si>
  <si>
    <t>부산광역시 기장군 동부산관광로 8 메종동부산 롯데몰동부산점 B동 1층</t>
  </si>
  <si>
    <t>055-224-0016</t>
  </si>
  <si>
    <t>61LM39</t>
  </si>
  <si>
    <t>경상남도 창원시 마산합포구 북성로34 (중성동)</t>
  </si>
  <si>
    <t>강호근</t>
  </si>
  <si>
    <t>055-367-5670</t>
  </si>
  <si>
    <t>61LM41</t>
  </si>
  <si>
    <t>경상남도 양산시 물금읍 황산로 497</t>
  </si>
  <si>
    <t>남명현</t>
  </si>
  <si>
    <t>051-506-0967</t>
  </si>
  <si>
    <t>61LM42</t>
  </si>
  <si>
    <t>부산광역시 연제구 거제동 46-2 2,3층</t>
  </si>
  <si>
    <t>이철희</t>
  </si>
  <si>
    <t>055-754-0010</t>
  </si>
  <si>
    <t>61LM45</t>
  </si>
  <si>
    <t>경상남도 진주시 진주대로 638 지하1층~2층</t>
  </si>
  <si>
    <t>김지융</t>
  </si>
  <si>
    <t>055-287-7176</t>
  </si>
  <si>
    <t>61LM46</t>
  </si>
  <si>
    <t>정진환</t>
  </si>
  <si>
    <t>051-261-0213</t>
  </si>
  <si>
    <t>61LM47</t>
  </si>
  <si>
    <t>부산광역시 사하구 낙동남로 1359 (하단동 870-85)</t>
  </si>
  <si>
    <t>우영숙</t>
  </si>
  <si>
    <t>051-678-3923</t>
  </si>
  <si>
    <t>62LM25</t>
  </si>
  <si>
    <t>부산 중구 중앙대로 2, 롯데백화점 광복점 8층</t>
  </si>
  <si>
    <t>032-818-6600</t>
  </si>
  <si>
    <t>IL0000</t>
  </si>
  <si>
    <t>인천광역시 연수구 송도국제대로 165 홈플러스 송도점 1층</t>
  </si>
  <si>
    <t>이종균</t>
  </si>
  <si>
    <t>032-567-3343</t>
  </si>
  <si>
    <t>62LM12</t>
  </si>
  <si>
    <t>인천광역시 서구 원당대로 847, 4층</t>
  </si>
  <si>
    <t>유종규</t>
  </si>
  <si>
    <t>032-469-2400</t>
  </si>
  <si>
    <t>61LM29</t>
  </si>
  <si>
    <t>인천광역시 남동구 인주대로 644</t>
  </si>
  <si>
    <t>031-986-0085</t>
  </si>
  <si>
    <t>61LM11</t>
  </si>
  <si>
    <t>경기도 김포시 풍무동 27-4 1,2층</t>
  </si>
  <si>
    <t>장미영</t>
  </si>
  <si>
    <t>032-613-2200</t>
  </si>
  <si>
    <t>61LM16</t>
  </si>
  <si>
    <t>경기도 부천시 원미구 길주로 462</t>
  </si>
  <si>
    <t>최민영</t>
  </si>
  <si>
    <t>031-826-1445</t>
  </si>
  <si>
    <t>61LM28</t>
  </si>
  <si>
    <t>경기도 의정부시 민락로 397</t>
  </si>
  <si>
    <t>이경숙</t>
  </si>
  <si>
    <t>031-8072-3438</t>
  </si>
  <si>
    <t>62LM40</t>
  </si>
  <si>
    <t>경기도 시흥시 서해안로 699 시흥프리미엄아울렛 2층 2914호</t>
  </si>
  <si>
    <t>010-4920-3816</t>
  </si>
  <si>
    <t>IL0017</t>
  </si>
  <si>
    <t>경기도 부천시 원미구 길주로 180 현대백화점 중동점 7층</t>
  </si>
  <si>
    <t>031-564-0077</t>
  </si>
  <si>
    <t>62LM47</t>
  </si>
  <si>
    <t>경기도 구리시 경춘로 261 롯데백화점구리점 7층</t>
  </si>
  <si>
    <t>구현정</t>
  </si>
  <si>
    <t>02-2630-6933</t>
  </si>
  <si>
    <t>62LM26</t>
  </si>
  <si>
    <t>서울특별시 영등포구 영등포동 경인로 846, 롯데백화점 영등포점 9층</t>
  </si>
  <si>
    <t>오승균</t>
  </si>
  <si>
    <t>담당</t>
  </si>
  <si>
    <t>지역</t>
  </si>
  <si>
    <t>임차구분</t>
  </si>
  <si>
    <t>투자형B-로드</t>
  </si>
  <si>
    <t>일반BS</t>
  </si>
  <si>
    <t>체크필요.</t>
  </si>
  <si>
    <t>25년 거래보증금 설정</t>
  </si>
  <si>
    <t>2025년 4월 1일</t>
  </si>
  <si>
    <t>2026년 3월 31일</t>
  </si>
  <si>
    <t>일룸 거제점</t>
  </si>
  <si>
    <t>178-73-00699</t>
  </si>
  <si>
    <t>경상남도 거제시 수양로 454-40, 2층(수월동)</t>
  </si>
  <si>
    <t>2025년 5월 31일</t>
  </si>
  <si>
    <t>skparknv@naver.com</t>
  </si>
  <si>
    <t>heraseo219@nate.com</t>
  </si>
  <si>
    <t>elioom@nate.com</t>
  </si>
  <si>
    <t>smartopc@naver.com</t>
  </si>
  <si>
    <t>2026년 1월 1일</t>
  </si>
  <si>
    <t>일룸빛고을점</t>
  </si>
  <si>
    <t>415-48-01330</t>
  </si>
  <si>
    <t>광주광역시 광산구 하남대로 352, 3층(신가동)</t>
  </si>
  <si>
    <t>2025년 5월 29일</t>
  </si>
  <si>
    <t>kmj669@hanmail.net</t>
  </si>
  <si>
    <t>iloomsejong2016@daum.net</t>
  </si>
  <si>
    <t>wlsl4258@hanmail.net</t>
  </si>
  <si>
    <t>popeyes2@hanmail.net</t>
  </si>
  <si>
    <t>노 수 민</t>
  </si>
  <si>
    <t>wish2199@naver.com</t>
  </si>
  <si>
    <t>jungbok35@hanmail.net</t>
  </si>
  <si>
    <t>uggugg@nate.com</t>
  </si>
  <si>
    <t>su2774@nate.com</t>
  </si>
  <si>
    <t>김은미, 주세형</t>
  </si>
  <si>
    <t>iloom_cj@naver.com</t>
  </si>
  <si>
    <t>2625577@gmail.com</t>
  </si>
  <si>
    <t>iloom0710@naver.com</t>
  </si>
  <si>
    <t>2026년 2월 28일</t>
  </si>
  <si>
    <t>tohode@naver.com</t>
  </si>
  <si>
    <t>2026년 1월 25일</t>
  </si>
  <si>
    <t>일룸 롯데영등포점</t>
  </si>
  <si>
    <t>서울 영등포구 영등포동 경인로846, 롯데백화점 9층</t>
  </si>
  <si>
    <t>일룸 롯데 안산점</t>
  </si>
  <si>
    <t>336-46-01186</t>
  </si>
  <si>
    <t>최 하 은</t>
  </si>
  <si>
    <t>경기도 안산시 단원구 고잔1길 12, 3층(고잔동, 롯데백화점 안산점)</t>
  </si>
  <si>
    <t>2025년 4월 30일</t>
  </si>
  <si>
    <t>hg1634@naver.com</t>
  </si>
  <si>
    <t>일룸 롯데광복점</t>
  </si>
  <si>
    <t>173-62-00679</t>
  </si>
  <si>
    <t>부산광역시 중구 중앙대로 2, 8층</t>
  </si>
  <si>
    <t>2026년 2월 1일</t>
  </si>
  <si>
    <t>iloomgo@naver.com</t>
  </si>
  <si>
    <t>일룸 목동점</t>
  </si>
  <si>
    <t>서울특별시 양천구 신월로 323, 3층(신정동, 홈데이)</t>
  </si>
  <si>
    <t>2025년 10월 31일</t>
  </si>
  <si>
    <t>kuhj.iloom@gmail.com</t>
  </si>
  <si>
    <t>2025년 8월 20일</t>
  </si>
  <si>
    <t>changiloom@hanmail.net</t>
  </si>
  <si>
    <t>㈜아이룸텍</t>
  </si>
  <si>
    <t>kianadol76@daum.net</t>
  </si>
  <si>
    <t>2025년 9월 1일</t>
  </si>
  <si>
    <t>일룸 NC대전유성점</t>
  </si>
  <si>
    <t>일룸 신세계시흥</t>
  </si>
  <si>
    <t>133-40-01343</t>
  </si>
  <si>
    <t>경기도 시흥시 서해안로 699, 2층 (배곧동, 시흥 프리미엄 아울렛)</t>
  </si>
  <si>
    <t>롯데몰여수</t>
  </si>
  <si>
    <t>이천만원 (\20,000,000원)</t>
  </si>
  <si>
    <t>2025년 9월 4일</t>
  </si>
  <si>
    <t>2025년 9월 4일 ~ 2026년 3월 31일</t>
  </si>
  <si>
    <t>일룸 롯데구리점</t>
  </si>
  <si>
    <t>경기도 구리시 경춘로 261, 롯데백화점구리점 7층</t>
  </si>
  <si>
    <t>2026년 3월 4일</t>
  </si>
  <si>
    <t>~4월 입금</t>
  </si>
  <si>
    <t>광천/ 빛고을/ 안양/ 신세계대전</t>
  </si>
  <si>
    <t>*기흥 : 26년 4월 28일까지가 임대차  만료!!!!!!!</t>
  </si>
  <si>
    <t>~5월 입금</t>
  </si>
  <si>
    <t>롯데미아 (잔여 1천)</t>
  </si>
  <si>
    <t>~6월 입금</t>
  </si>
  <si>
    <t>신시흥(2천)/ 신파주 (1천)</t>
  </si>
  <si>
    <t>~7월 입금</t>
  </si>
  <si>
    <t>인천검단 (1천)</t>
  </si>
  <si>
    <t>~9월 입금</t>
  </si>
  <si>
    <t>신세계 파주 (잔여1천)</t>
  </si>
  <si>
    <t>~10월 입금</t>
  </si>
  <si>
    <t>인천검단 (잔여 1천)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</si>
</sst>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&quot;년&quot;\ m&quot;월&quot;\ d&quot;일&quot;;@"/>
    <numFmt numFmtId="177" formatCode="0.0%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바탕체"/>
      <family val="1"/>
      <charset val="129"/>
    </font>
    <font>
      <sz val="10"/>
      <name val="바탕체"/>
      <family val="1"/>
      <charset val="129"/>
    </font>
    <font>
      <b/>
      <sz val="16"/>
      <name val="바탕체"/>
      <family val="1"/>
      <charset val="129"/>
    </font>
    <font>
      <sz val="10"/>
      <color theme="1"/>
      <name val="바탕체"/>
      <family val="1"/>
      <charset val="129"/>
    </font>
    <font>
      <b/>
      <sz val="11"/>
      <name val="맑은 고딕"/>
      <family val="3"/>
      <charset val="129"/>
      <scheme val="minor"/>
    </font>
    <font>
      <sz val="10"/>
      <color rgb="FFFF0000"/>
      <name val="바탕체"/>
      <family val="1"/>
      <charset val="129"/>
    </font>
    <font>
      <b/>
      <sz val="10"/>
      <color theme="1"/>
      <name val="바탕체"/>
      <family val="1"/>
      <charset val="129"/>
    </font>
    <font>
      <sz val="11"/>
      <name val="바탕체"/>
      <family val="1"/>
      <charset val="129"/>
    </font>
    <font>
      <sz val="9"/>
      <name val="바탕체"/>
      <family val="1"/>
      <charset val="129"/>
    </font>
    <font>
      <strike/>
      <sz val="10"/>
      <color rgb="FFFF0000"/>
      <name val="바탕체"/>
      <family val="1"/>
      <charset val="129"/>
    </font>
    <font>
      <sz val="9"/>
      <color theme="1"/>
      <name val="바탕체"/>
      <family val="1"/>
      <charset val="129"/>
    </font>
    <font>
      <sz val="9"/>
      <color rgb="FF000000"/>
      <name val="바탕체"/>
      <family val="1"/>
      <charset val="129"/>
    </font>
    <font>
      <b/>
      <sz val="9"/>
      <name val="바탕체"/>
      <family val="1"/>
      <charset val="129"/>
    </font>
    <font>
      <sz val="8"/>
      <name val="바탕체"/>
      <family val="1"/>
      <charset val="129"/>
    </font>
    <font>
      <b/>
      <sz val="8"/>
      <name val="바탕체"/>
      <family val="1"/>
      <charset val="129"/>
    </font>
    <font>
      <sz val="10"/>
      <color rgb="FF000000"/>
      <name val="바탕체"/>
      <family val="1"/>
      <charset val="129"/>
    </font>
    <font>
      <sz val="11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b/>
      <sz val="10"/>
      <color rgb="FF0070C0"/>
      <name val="바탕체"/>
      <family val="1"/>
      <charset val="129"/>
    </font>
    <font>
      <sz val="1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 style="thin">
        <color indexed="64"/>
      </top>
      <bottom/>
      <diagonal/>
    </border>
    <border>
      <left/>
      <right style="dotted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tted">
        <color rgb="FF000000"/>
      </right>
      <top style="hair">
        <color indexed="64"/>
      </top>
      <bottom/>
      <diagonal/>
    </border>
    <border>
      <left style="dotted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dotted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auto="1"/>
      </bottom>
      <diagonal/>
    </border>
    <border>
      <left/>
      <right style="dotted">
        <color rgb="FF000000"/>
      </right>
      <top/>
      <bottom style="hair">
        <color indexed="64"/>
      </bottom>
      <diagonal/>
    </border>
    <border>
      <left style="dotted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dotted">
        <color rgb="FF000000"/>
      </left>
      <right/>
      <top/>
      <bottom style="thin">
        <color indexed="64"/>
      </bottom>
      <diagonal/>
    </border>
    <border>
      <left/>
      <right style="dotted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tted">
        <color rgb="FF000000"/>
      </right>
      <top style="hair">
        <color indexed="64"/>
      </top>
      <bottom style="hair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/>
      <bottom style="hair">
        <color indexed="64"/>
      </bottom>
      <diagonal/>
    </border>
    <border>
      <left/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/>
      <right style="dotted">
        <color rgb="FF000000"/>
      </right>
      <top style="hair">
        <color auto="1"/>
      </top>
      <bottom/>
      <diagonal/>
    </border>
    <border>
      <left style="dotted">
        <color rgb="FF000000"/>
      </left>
      <right style="dotted">
        <color rgb="FF000000"/>
      </right>
      <top style="hair">
        <color indexed="64"/>
      </top>
      <bottom style="hair">
        <color indexed="64"/>
      </bottom>
      <diagonal/>
    </border>
    <border>
      <left/>
      <right style="dotted">
        <color rgb="FF000000"/>
      </right>
      <top/>
      <bottom style="hair">
        <color auto="1"/>
      </bottom>
      <diagonal/>
    </border>
    <border>
      <left/>
      <right style="dotted">
        <color rgb="FF000000"/>
      </right>
      <top style="hair">
        <color auto="1"/>
      </top>
      <bottom style="hair">
        <color auto="1"/>
      </bottom>
      <diagonal/>
    </border>
    <border>
      <left style="dotted">
        <color rgb="FF000000"/>
      </left>
      <right style="dotted">
        <color rgb="FF000000"/>
      </right>
      <top style="hair">
        <color indexed="64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tted">
        <color rgb="FF000000"/>
      </left>
      <right style="dotted">
        <color rgb="FF000000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 style="thin">
        <color auto="1"/>
      </top>
      <bottom style="hair">
        <color auto="1"/>
      </bottom>
      <diagonal/>
    </border>
    <border>
      <left/>
      <right style="dotted">
        <color rgb="FF000000"/>
      </right>
      <top style="thin">
        <color auto="1"/>
      </top>
      <bottom/>
      <diagonal/>
    </border>
    <border>
      <left style="dotted">
        <color rgb="FF000000"/>
      </left>
      <right style="dotted">
        <color rgb="FF000000"/>
      </right>
      <top style="thin">
        <color indexed="64"/>
      </top>
      <bottom/>
      <diagonal/>
    </border>
    <border>
      <left style="dotted">
        <color rgb="FF000000"/>
      </left>
      <right style="dotted">
        <color rgb="FF000000"/>
      </right>
      <top style="hair">
        <color indexed="64"/>
      </top>
      <bottom/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7">
    <xf numFmtId="0" fontId="0" fillId="0" borderId="0">
      <alignment vertical="center"/>
    </xf>
    <xf numFmtId="41" fontId="1" fillId="0" borderId="0">
      <alignment vertical="center"/>
    </xf>
    <xf numFmtId="0" fontId="2" fillId="0" borderId="0">
      <alignment vertical="center"/>
    </xf>
    <xf numFmtId="0" fontId="2" fillId="0" borderId="0"/>
    <xf numFmtId="0" fontId="21" fillId="0" borderId="0">
      <alignment vertical="center"/>
    </xf>
    <xf numFmtId="0" fontId="22" fillId="0" borderId="0"/>
    <xf numFmtId="0" fontId="30" fillId="0" borderId="0">
      <alignment vertical="center"/>
    </xf>
  </cellStyleXfs>
  <cellXfs count="255">
    <xf numFmtId="0" fontId="0" fillId="0" borderId="0" xfId="0" applyAlignment="1">
      <alignment vertical="center"/>
    </xf>
    <xf numFmtId="0" fontId="3" fillId="2" borderId="0" xfId="2" applyFont="1" applyFill="1" applyAlignment="1">
      <alignment vertical="center"/>
    </xf>
    <xf numFmtId="0" fontId="6" fillId="2" borderId="0" xfId="2" applyFont="1" applyFill="1" applyAlignment="1">
      <alignment horizontal="center" vertical="center"/>
    </xf>
    <xf numFmtId="0" fontId="6" fillId="2" borderId="0" xfId="2" applyFont="1" applyFill="1" applyAlignment="1">
      <alignment vertical="center"/>
    </xf>
    <xf numFmtId="0" fontId="6" fillId="2" borderId="0" xfId="0" applyFont="1" applyFill="1" applyAlignment="1">
      <alignment horizontal="left" vertical="center" indent="2"/>
    </xf>
    <xf numFmtId="0" fontId="9" fillId="2" borderId="0" xfId="2" applyFont="1" applyFill="1" applyAlignment="1">
      <alignment vertical="center"/>
    </xf>
    <xf numFmtId="0" fontId="6" fillId="0" borderId="0" xfId="2" applyFont="1" applyAlignment="1">
      <alignment horizontal="left" vertical="center" wrapText="1"/>
    </xf>
    <xf numFmtId="0" fontId="6" fillId="0" borderId="0" xfId="2" applyFont="1" applyAlignment="1">
      <alignment horizontal="center" vertical="center" wrapText="1"/>
    </xf>
    <xf numFmtId="0" fontId="10" fillId="0" borderId="0" xfId="0" applyFont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8" fillId="0" borderId="0" xfId="0" quotePrefix="1" applyFont="1" applyAlignment="1">
      <alignment horizontal="center" vertical="center" wrapText="1"/>
    </xf>
    <xf numFmtId="0" fontId="12" fillId="0" borderId="0" xfId="2" applyFont="1" applyAlignment="1">
      <alignment horizontal="left" vertical="center" indent="1"/>
    </xf>
    <xf numFmtId="0" fontId="3" fillId="0" borderId="0" xfId="2" applyFont="1" applyAlignment="1">
      <alignment horizontal="left" vertical="center" indent="1"/>
    </xf>
    <xf numFmtId="0" fontId="9" fillId="0" borderId="0" xfId="2" applyFont="1" applyAlignment="1">
      <alignment horizontal="left" vertical="center" indent="1"/>
    </xf>
    <xf numFmtId="0" fontId="3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3" fillId="0" borderId="1" xfId="2" applyFont="1" applyBorder="1" applyAlignment="1">
      <alignment vertical="center"/>
    </xf>
    <xf numFmtId="0" fontId="3" fillId="0" borderId="0" xfId="2" applyFont="1" applyAlignment="1">
      <alignment horizontal="center" vertical="center"/>
    </xf>
    <xf numFmtId="0" fontId="2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center" indent="3"/>
    </xf>
    <xf numFmtId="0" fontId="6" fillId="2" borderId="0" xfId="2" applyFont="1" applyFill="1" applyAlignment="1">
      <alignment horizontal="center" vertical="center" wrapText="1"/>
    </xf>
    <xf numFmtId="0" fontId="6" fillId="0" borderId="0" xfId="2" applyFont="1" applyAlignment="1">
      <alignment horizontal="left" vertical="center"/>
    </xf>
    <xf numFmtId="0" fontId="6" fillId="0" borderId="0" xfId="0" quotePrefix="1" applyFont="1" applyAlignment="1">
      <alignment horizontal="left" vertical="center" indent="1"/>
    </xf>
    <xf numFmtId="0" fontId="3" fillId="0" borderId="2" xfId="2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3" fillId="0" borderId="0" xfId="2" applyFont="1" applyAlignment="1">
      <alignment horizontal="left" vertical="center" indent="2"/>
    </xf>
    <xf numFmtId="0" fontId="15" fillId="0" borderId="0" xfId="0" applyFont="1" applyAlignment="1">
      <alignment horizontal="left" vertical="center"/>
    </xf>
    <xf numFmtId="9" fontId="13" fillId="0" borderId="0" xfId="0" quotePrefix="1" applyNumberFormat="1" applyFont="1" applyAlignment="1">
      <alignment horizontal="center" vertical="center" wrapText="1"/>
    </xf>
    <xf numFmtId="9" fontId="13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2" fillId="0" borderId="0" xfId="2" applyFont="1" applyAlignment="1">
      <alignment vertical="center"/>
    </xf>
    <xf numFmtId="0" fontId="6" fillId="0" borderId="0" xfId="2" quotePrefix="1" applyFont="1" applyAlignment="1">
      <alignment vertical="center"/>
    </xf>
    <xf numFmtId="0" fontId="6" fillId="0" borderId="0" xfId="2" applyFont="1" applyAlignment="1">
      <alignment vertical="center"/>
    </xf>
    <xf numFmtId="0" fontId="6" fillId="0" borderId="0" xfId="3" applyFont="1" applyAlignment="1">
      <alignment horizontal="left" vertical="center" indent="2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10" fillId="0" borderId="0" xfId="2" applyFont="1" applyAlignment="1">
      <alignment horizontal="center" vertical="center"/>
    </xf>
    <xf numFmtId="0" fontId="10" fillId="0" borderId="0" xfId="2" applyFont="1" applyAlignment="1">
      <alignment horizontal="left" vertical="center"/>
    </xf>
    <xf numFmtId="10" fontId="3" fillId="0" borderId="0" xfId="2" applyNumberFormat="1" applyFont="1" applyAlignment="1">
      <alignment vertical="center"/>
    </xf>
    <xf numFmtId="9" fontId="3" fillId="0" borderId="0" xfId="2" applyNumberFormat="1" applyFont="1" applyAlignment="1">
      <alignment vertical="center"/>
    </xf>
    <xf numFmtId="9" fontId="0" fillId="0" borderId="0" xfId="0" applyNumberFormat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7" fillId="0" borderId="0" xfId="2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29" fillId="0" borderId="0" xfId="0" applyFont="1" applyAlignment="1">
      <alignment vertical="center"/>
    </xf>
    <xf numFmtId="0" fontId="28" fillId="0" borderId="0" xfId="0" applyFont="1" applyAlignment="1">
      <alignment horizontal="left" vertical="center" indent="2"/>
    </xf>
    <xf numFmtId="0" fontId="6" fillId="0" borderId="0" xfId="0" quotePrefix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49" fontId="24" fillId="0" borderId="1" xfId="0" applyNumberFormat="1" applyFont="1" applyBorder="1" applyAlignment="1">
      <alignment vertical="center"/>
    </xf>
    <xf numFmtId="49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30" fillId="0" borderId="0" xfId="6" applyAlignment="1">
      <alignment vertical="center"/>
    </xf>
    <xf numFmtId="0" fontId="31" fillId="0" borderId="1" xfId="0" applyFont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49" fontId="31" fillId="3" borderId="1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1" fillId="5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right" vertical="center" indent="1"/>
    </xf>
    <xf numFmtId="0" fontId="33" fillId="3" borderId="0" xfId="0" applyFont="1" applyFill="1" applyAlignment="1">
      <alignment horizontal="left"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31" fillId="3" borderId="0" xfId="0" applyFont="1" applyFill="1" applyAlignment="1">
      <alignment horizontal="center" vertical="center"/>
    </xf>
    <xf numFmtId="0" fontId="31" fillId="10" borderId="0" xfId="0" applyFont="1" applyFill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49" fontId="31" fillId="10" borderId="1" xfId="0" applyNumberFormat="1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49" fontId="31" fillId="12" borderId="1" xfId="0" applyNumberFormat="1" applyFont="1" applyFill="1" applyBorder="1" applyAlignment="1">
      <alignment horizontal="center" vertical="center"/>
    </xf>
    <xf numFmtId="0" fontId="35" fillId="0" borderId="51" xfId="0" applyFont="1" applyBorder="1" applyAlignment="1">
      <alignment horizontal="center" vertical="center" wrapText="1"/>
    </xf>
    <xf numFmtId="0" fontId="35" fillId="13" borderId="51" xfId="0" applyFont="1" applyFill="1" applyBorder="1" applyAlignment="1">
      <alignment horizontal="center" vertical="center" wrapText="1"/>
    </xf>
    <xf numFmtId="0" fontId="35" fillId="16" borderId="51" xfId="0" applyFont="1" applyFill="1" applyBorder="1" applyAlignment="1">
      <alignment horizontal="center" vertical="center" wrapText="1"/>
    </xf>
    <xf numFmtId="0" fontId="35" fillId="17" borderId="51" xfId="0" applyFont="1" applyFill="1" applyBorder="1" applyAlignment="1">
      <alignment horizontal="center" vertical="center" wrapText="1"/>
    </xf>
    <xf numFmtId="0" fontId="35" fillId="17" borderId="51" xfId="0" applyFont="1" applyFill="1" applyBorder="1" applyAlignment="1">
      <alignment vertical="center" wrapText="1"/>
    </xf>
    <xf numFmtId="0" fontId="35" fillId="15" borderId="51" xfId="0" applyFont="1" applyFill="1" applyBorder="1" applyAlignment="1">
      <alignment horizontal="center" vertical="center" wrapText="1"/>
    </xf>
    <xf numFmtId="0" fontId="35" fillId="18" borderId="51" xfId="0" applyFont="1" applyFill="1" applyBorder="1" applyAlignment="1">
      <alignment horizontal="center" vertical="center" wrapText="1"/>
    </xf>
    <xf numFmtId="0" fontId="35" fillId="18" borderId="51" xfId="0" applyFont="1" applyFill="1" applyBorder="1" applyAlignment="1">
      <alignment vertical="center" wrapText="1"/>
    </xf>
    <xf numFmtId="0" fontId="35" fillId="19" borderId="51" xfId="0" applyFont="1" applyFill="1" applyBorder="1" applyAlignment="1">
      <alignment horizontal="center" vertical="center" wrapText="1"/>
    </xf>
    <xf numFmtId="0" fontId="35" fillId="19" borderId="51" xfId="0" applyFont="1" applyFill="1" applyBorder="1" applyAlignment="1">
      <alignment vertical="center" wrapText="1"/>
    </xf>
    <xf numFmtId="0" fontId="35" fillId="0" borderId="51" xfId="0" applyFont="1" applyBorder="1" applyAlignment="1">
      <alignment vertical="center" wrapText="1"/>
    </xf>
    <xf numFmtId="0" fontId="34" fillId="18" borderId="51" xfId="0" applyFont="1" applyFill="1" applyBorder="1" applyAlignment="1">
      <alignment horizontal="center" vertical="center" wrapText="1"/>
    </xf>
    <xf numFmtId="0" fontId="35" fillId="14" borderId="54" xfId="0" applyFont="1" applyFill="1" applyBorder="1" applyAlignment="1">
      <alignment horizontal="center" vertical="center" wrapText="1"/>
    </xf>
    <xf numFmtId="0" fontId="35" fillId="14" borderId="50" xfId="0" applyFont="1" applyFill="1" applyBorder="1" applyAlignment="1">
      <alignment horizontal="center" vertical="center" wrapText="1"/>
    </xf>
    <xf numFmtId="0" fontId="35" fillId="16" borderId="50" xfId="0" applyFont="1" applyFill="1" applyBorder="1" applyAlignment="1">
      <alignment horizontal="center" vertical="center" wrapText="1"/>
    </xf>
    <xf numFmtId="0" fontId="35" fillId="16" borderId="50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2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21" borderId="0" xfId="0" applyFill="1" applyAlignment="1">
      <alignment vertical="center"/>
    </xf>
    <xf numFmtId="0" fontId="0" fillId="12" borderId="0" xfId="0" applyFill="1" applyAlignment="1">
      <alignment vertical="center"/>
    </xf>
    <xf numFmtId="14" fontId="0" fillId="0" borderId="0" xfId="0" applyNumberFormat="1" applyAlignment="1">
      <alignment vertical="center"/>
    </xf>
    <xf numFmtId="14" fontId="0" fillId="20" borderId="0" xfId="0" applyNumberFormat="1" applyFill="1" applyAlignment="1">
      <alignment vertical="center"/>
    </xf>
    <xf numFmtId="14" fontId="0" fillId="3" borderId="0" xfId="0" applyNumberFormat="1" applyFill="1" applyAlignment="1">
      <alignment vertical="center"/>
    </xf>
    <xf numFmtId="14" fontId="0" fillId="21" borderId="0" xfId="0" applyNumberFormat="1" applyFill="1" applyAlignment="1">
      <alignment vertical="center"/>
    </xf>
    <xf numFmtId="49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49" fontId="31" fillId="0" borderId="1" xfId="0" applyNumberFormat="1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49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vertical="center"/>
    </xf>
    <xf numFmtId="49" fontId="32" fillId="3" borderId="1" xfId="0" applyNumberFormat="1" applyFont="1" applyFill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0" borderId="0" xfId="2" quotePrefix="1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/>
    <xf numFmtId="176" fontId="6" fillId="0" borderId="0" xfId="0" quotePrefix="1" applyNumberFormat="1" applyFont="1" applyAlignment="1">
      <alignment horizontal="right" vertical="center"/>
    </xf>
    <xf numFmtId="176" fontId="6" fillId="0" borderId="0" xfId="0" quotePrefix="1" applyNumberFormat="1" applyFont="1" applyAlignment="1">
      <alignment vertical="center"/>
    </xf>
    <xf numFmtId="41" fontId="0" fillId="0" borderId="0" xfId="1" applyFont="1" applyAlignment="1">
      <alignment vertical="center"/>
    </xf>
    <xf numFmtId="177" fontId="13" fillId="0" borderId="0" xfId="0" quotePrefix="1" applyNumberFormat="1" applyFont="1" applyAlignment="1">
      <alignment horizontal="center" vertical="center" wrapText="1"/>
    </xf>
    <xf numFmtId="41" fontId="3" fillId="0" borderId="0" xfId="1" applyFont="1" applyAlignment="1">
      <alignment vertical="center"/>
    </xf>
    <xf numFmtId="176" fontId="24" fillId="0" borderId="0" xfId="0" applyNumberFormat="1" applyFont="1" applyAlignment="1">
      <alignment vertical="center"/>
    </xf>
    <xf numFmtId="176" fontId="23" fillId="0" borderId="1" xfId="0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6" fillId="0" borderId="0" xfId="2" quotePrefix="1" applyFont="1" applyAlignment="1">
      <alignment horizontal="center" vertical="center"/>
    </xf>
    <xf numFmtId="176" fontId="6" fillId="0" borderId="0" xfId="0" quotePrefix="1" applyNumberFormat="1" applyFont="1" applyAlignment="1">
      <alignment horizontal="right" vertical="center"/>
    </xf>
    <xf numFmtId="0" fontId="13" fillId="0" borderId="1" xfId="2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13" fillId="0" borderId="32" xfId="2" applyFont="1" applyBorder="1" applyAlignment="1">
      <alignment horizontal="center" vertical="center"/>
    </xf>
    <xf numFmtId="0" fontId="0" fillId="0" borderId="34" xfId="0" applyBorder="1" applyAlignment="1"/>
    <xf numFmtId="0" fontId="0" fillId="0" borderId="43" xfId="0" applyBorder="1" applyAlignment="1"/>
    <xf numFmtId="0" fontId="0" fillId="0" borderId="37" xfId="0" applyBorder="1" applyAlignment="1"/>
    <xf numFmtId="0" fontId="0" fillId="0" borderId="44" xfId="0" applyBorder="1" applyAlignment="1"/>
    <xf numFmtId="0" fontId="0" fillId="0" borderId="3" xfId="0" applyBorder="1" applyAlignment="1"/>
    <xf numFmtId="0" fontId="13" fillId="0" borderId="31" xfId="2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72" xfId="0" applyFont="1" applyBorder="1" applyAlignment="1">
      <alignment horizontal="center" vertical="center" wrapText="1"/>
    </xf>
    <xf numFmtId="0" fontId="0" fillId="0" borderId="17" xfId="0" applyBorder="1" applyAlignment="1"/>
    <xf numFmtId="0" fontId="13" fillId="0" borderId="1" xfId="2" applyFont="1" applyBorder="1" applyAlignment="1">
      <alignment horizontal="center" vertical="center" wrapText="1"/>
    </xf>
    <xf numFmtId="0" fontId="0" fillId="0" borderId="35" xfId="0" applyBorder="1" applyAlignment="1"/>
    <xf numFmtId="0" fontId="17" fillId="0" borderId="28" xfId="2" applyFont="1" applyBorder="1" applyAlignment="1">
      <alignment horizontal="center" vertical="center"/>
    </xf>
    <xf numFmtId="0" fontId="0" fillId="0" borderId="45" xfId="0" applyBorder="1" applyAlignment="1"/>
    <xf numFmtId="9" fontId="13" fillId="0" borderId="1" xfId="0" applyNumberFormat="1" applyFont="1" applyBorder="1" applyAlignment="1">
      <alignment horizontal="center" vertical="center" wrapText="1"/>
    </xf>
    <xf numFmtId="0" fontId="13" fillId="0" borderId="73" xfId="0" applyFont="1" applyBorder="1" applyAlignment="1">
      <alignment horizontal="center" vertical="center" wrapText="1"/>
    </xf>
    <xf numFmtId="0" fontId="0" fillId="0" borderId="56" xfId="0" applyBorder="1" applyAlignment="1"/>
    <xf numFmtId="0" fontId="11" fillId="0" borderId="1" xfId="0" applyFont="1" applyBorder="1" applyAlignment="1">
      <alignment horizontal="center" vertical="center"/>
    </xf>
    <xf numFmtId="0" fontId="13" fillId="0" borderId="30" xfId="2" applyFont="1" applyBorder="1" applyAlignment="1">
      <alignment horizontal="center" vertical="center"/>
    </xf>
    <xf numFmtId="0" fontId="17" fillId="0" borderId="68" xfId="0" applyFont="1" applyBorder="1" applyAlignment="1">
      <alignment horizontal="center" vertical="center" wrapText="1"/>
    </xf>
    <xf numFmtId="0" fontId="0" fillId="0" borderId="12" xfId="0" applyBorder="1" applyAlignment="1"/>
    <xf numFmtId="0" fontId="13" fillId="0" borderId="20" xfId="0" applyFont="1" applyBorder="1" applyAlignment="1">
      <alignment horizontal="center" vertical="center" wrapText="1"/>
    </xf>
    <xf numFmtId="0" fontId="0" fillId="0" borderId="21" xfId="0" applyBorder="1" applyAlignment="1"/>
    <xf numFmtId="0" fontId="8" fillId="0" borderId="65" xfId="0" quotePrefix="1" applyFont="1" applyBorder="1" applyAlignment="1">
      <alignment horizontal="left" vertical="center" wrapText="1" indent="1"/>
    </xf>
    <xf numFmtId="0" fontId="0" fillId="0" borderId="8" xfId="0" applyBorder="1" applyAlignment="1"/>
    <xf numFmtId="0" fontId="0" fillId="0" borderId="9" xfId="0" applyBorder="1" applyAlignment="1"/>
    <xf numFmtId="0" fontId="0" fillId="0" borderId="2" xfId="0" applyBorder="1" applyAlignment="1"/>
    <xf numFmtId="0" fontId="13" fillId="0" borderId="23" xfId="0" applyFont="1" applyBorder="1" applyAlignment="1">
      <alignment horizontal="center" vertical="center" wrapText="1"/>
    </xf>
    <xf numFmtId="0" fontId="0" fillId="0" borderId="42" xfId="0" applyBorder="1" applyAlignment="1"/>
    <xf numFmtId="0" fontId="0" fillId="0" borderId="67" xfId="0" applyBorder="1" applyAlignment="1"/>
    <xf numFmtId="0" fontId="0" fillId="0" borderId="23" xfId="0" applyBorder="1" applyAlignment="1"/>
    <xf numFmtId="0" fontId="16" fillId="0" borderId="61" xfId="0" applyFont="1" applyBorder="1" applyAlignment="1">
      <alignment horizontal="center" vertical="center" wrapText="1"/>
    </xf>
    <xf numFmtId="0" fontId="0" fillId="0" borderId="38" xfId="0" applyBorder="1" applyAlignment="1"/>
    <xf numFmtId="0" fontId="16" fillId="0" borderId="60" xfId="0" applyFont="1" applyBorder="1" applyAlignment="1">
      <alignment horizontal="center" vertical="center" wrapText="1"/>
    </xf>
    <xf numFmtId="0" fontId="0" fillId="0" borderId="57" xfId="0" applyBorder="1" applyAlignment="1"/>
    <xf numFmtId="0" fontId="0" fillId="0" borderId="22" xfId="0" applyBorder="1" applyAlignment="1"/>
    <xf numFmtId="0" fontId="0" fillId="0" borderId="59" xfId="0" applyBorder="1" applyAlignment="1"/>
    <xf numFmtId="0" fontId="13" fillId="0" borderId="57" xfId="0" applyFont="1" applyBorder="1" applyAlignment="1">
      <alignment horizontal="center" vertical="center" wrapText="1"/>
    </xf>
    <xf numFmtId="0" fontId="0" fillId="0" borderId="25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17" fillId="0" borderId="29" xfId="2" applyFont="1" applyBorder="1" applyAlignment="1">
      <alignment horizontal="center" vertical="center"/>
    </xf>
    <xf numFmtId="0" fontId="13" fillId="0" borderId="33" xfId="2" applyFont="1" applyBorder="1" applyAlignment="1">
      <alignment horizontal="center" vertical="center" wrapText="1"/>
    </xf>
    <xf numFmtId="0" fontId="0" fillId="0" borderId="16" xfId="0" applyBorder="1" applyAlignment="1"/>
    <xf numFmtId="0" fontId="0" fillId="0" borderId="39" xfId="0" applyBorder="1" applyAlignment="1"/>
    <xf numFmtId="0" fontId="0" fillId="0" borderId="40" xfId="0" applyBorder="1" applyAlignment="1"/>
    <xf numFmtId="0" fontId="7" fillId="0" borderId="0" xfId="2" applyFont="1" applyAlignment="1">
      <alignment horizontal="center" vertical="center"/>
    </xf>
    <xf numFmtId="0" fontId="13" fillId="0" borderId="71" xfId="0" applyFont="1" applyBorder="1" applyAlignment="1">
      <alignment horizontal="center" vertical="center" wrapText="1"/>
    </xf>
    <xf numFmtId="0" fontId="0" fillId="0" borderId="15" xfId="0" applyBorder="1" applyAlignment="1"/>
    <xf numFmtId="0" fontId="13" fillId="0" borderId="69" xfId="0" applyFont="1" applyBorder="1" applyAlignment="1">
      <alignment horizontal="center" vertical="center" wrapText="1"/>
    </xf>
    <xf numFmtId="0" fontId="0" fillId="0" borderId="70" xfId="0" applyBorder="1" applyAlignment="1"/>
    <xf numFmtId="0" fontId="11" fillId="0" borderId="3" xfId="0" applyFont="1" applyBorder="1" applyAlignment="1">
      <alignment horizontal="center" vertical="center"/>
    </xf>
    <xf numFmtId="0" fontId="0" fillId="0" borderId="46" xfId="0" applyBorder="1" applyAlignment="1"/>
    <xf numFmtId="0" fontId="13" fillId="0" borderId="60" xfId="0" applyFont="1" applyBorder="1" applyAlignment="1">
      <alignment horizontal="center" vertical="center" wrapText="1"/>
    </xf>
    <xf numFmtId="0" fontId="0" fillId="0" borderId="60" xfId="0" applyBorder="1" applyAlignment="1"/>
    <xf numFmtId="0" fontId="0" fillId="0" borderId="41" xfId="0" applyBorder="1" applyAlignment="1"/>
    <xf numFmtId="0" fontId="8" fillId="0" borderId="64" xfId="0" quotePrefix="1" applyFont="1" applyBorder="1" applyAlignment="1">
      <alignment horizontal="left" vertical="center" wrapText="1" indent="1"/>
    </xf>
    <xf numFmtId="0" fontId="0" fillId="0" borderId="6" xfId="0" applyBorder="1" applyAlignment="1"/>
    <xf numFmtId="0" fontId="0" fillId="0" borderId="7" xfId="0" applyBorder="1" applyAlignment="1"/>
    <xf numFmtId="0" fontId="16" fillId="0" borderId="62" xfId="0" applyFont="1" applyBorder="1" applyAlignment="1">
      <alignment horizontal="center" vertical="center" wrapText="1"/>
    </xf>
    <xf numFmtId="0" fontId="0" fillId="0" borderId="27" xfId="0" applyBorder="1" applyAlignment="1"/>
    <xf numFmtId="0" fontId="17" fillId="0" borderId="12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3" fillId="0" borderId="66" xfId="0" applyFont="1" applyBorder="1" applyAlignment="1">
      <alignment horizontal="center" vertical="center" wrapText="1"/>
    </xf>
    <xf numFmtId="0" fontId="0" fillId="0" borderId="55" xfId="0" applyBorder="1" applyAlignment="1"/>
    <xf numFmtId="0" fontId="8" fillId="0" borderId="8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0" fillId="0" borderId="63" xfId="0" applyBorder="1" applyAlignment="1"/>
    <xf numFmtId="0" fontId="13" fillId="0" borderId="58" xfId="0" applyFont="1" applyBorder="1" applyAlignment="1">
      <alignment horizontal="center" vertical="center" wrapText="1"/>
    </xf>
    <xf numFmtId="0" fontId="0" fillId="0" borderId="36" xfId="0" applyBorder="1" applyAlignment="1"/>
    <xf numFmtId="0" fontId="6" fillId="0" borderId="48" xfId="0" applyFont="1" applyBorder="1" applyAlignment="1">
      <alignment horizontal="center" vertical="center"/>
    </xf>
    <xf numFmtId="0" fontId="0" fillId="0" borderId="75" xfId="0" applyBorder="1" applyAlignment="1"/>
    <xf numFmtId="0" fontId="0" fillId="0" borderId="78" xfId="0" applyBorder="1" applyAlignment="1"/>
    <xf numFmtId="0" fontId="0" fillId="0" borderId="79" xfId="0" applyBorder="1" applyAlignment="1"/>
    <xf numFmtId="0" fontId="6" fillId="0" borderId="49" xfId="0" applyFont="1" applyBorder="1" applyAlignment="1">
      <alignment horizontal="center" vertical="center"/>
    </xf>
    <xf numFmtId="0" fontId="0" fillId="0" borderId="77" xfId="0" applyBorder="1" applyAlignment="1"/>
    <xf numFmtId="0" fontId="18" fillId="0" borderId="1" xfId="2" applyFont="1" applyBorder="1" applyAlignment="1">
      <alignment horizontal="center" vertical="center"/>
    </xf>
    <xf numFmtId="0" fontId="18" fillId="0" borderId="1" xfId="2" quotePrefix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0" fillId="0" borderId="74" xfId="0" applyBorder="1" applyAlignment="1"/>
    <xf numFmtId="0" fontId="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0" fillId="0" borderId="76" xfId="0" applyBorder="1" applyAlignment="1"/>
    <xf numFmtId="0" fontId="19" fillId="0" borderId="1" xfId="2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5" fillId="15" borderId="54" xfId="0" applyFont="1" applyFill="1" applyBorder="1" applyAlignment="1">
      <alignment horizontal="center" vertical="center" wrapText="1"/>
    </xf>
    <xf numFmtId="0" fontId="0" fillId="0" borderId="52" xfId="0" applyBorder="1" applyAlignment="1"/>
    <xf numFmtId="0" fontId="0" fillId="0" borderId="53" xfId="0" applyBorder="1" applyAlignment="1"/>
  </cellXfs>
  <cellStyles count="7">
    <cellStyle name="쉼표 [0]" xfId="1" builtinId="6"/>
    <cellStyle name="표준" xfId="0" builtinId="0"/>
    <cellStyle name="표준 11" xfId="3" xr:uid="{00000000-0005-0000-0000-000003000000}"/>
    <cellStyle name="표준 2" xfId="4" xr:uid="{00000000-0005-0000-0000-000004000000}"/>
    <cellStyle name="표준 2 2" xfId="2" xr:uid="{00000000-0005-0000-0000-000002000000}"/>
    <cellStyle name="표준 3" xfId="5" xr:uid="{00000000-0005-0000-0000-000005000000}"/>
    <cellStyle name="하이퍼링크" xfId="6" builtinId="8"/>
  </cellStyles>
  <dxfs count="2">
    <dxf>
      <fill>
        <patternFill>
          <fgColor indexed="64"/>
          <bgColor indexed="65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_cho" refreshedDate="45751.431264120372" createdVersion="4" refreshedVersion="4" minRefreshableVersion="3" recordCount="80" xr:uid="{00000000-000A-0000-FFFF-FFFF00000000}">
  <cacheSource type="worksheet">
    <worksheetSource ref="B1:H1048576" sheet="2503기준유통망"/>
  </cacheSource>
  <cacheFields count="7">
    <cacheField name="2503대리점" numFmtId="0">
      <sharedItems containsBlank="1" count="70">
        <s v="대전도안3"/>
        <s v="롯데미아"/>
        <s v="롯데청량리"/>
        <s v="서대전3"/>
        <s v="서산3"/>
        <s v="세종2"/>
        <s v="신세계대전(팝업)"/>
        <s v="천안불당3"/>
        <s v="천안신방3"/>
        <s v="청남3"/>
        <s v="청주6"/>
        <s v="청주중앙4"/>
        <s v="경주4"/>
        <s v="구미5"/>
        <s v="달서5"/>
        <s v="수성5"/>
        <s v="스타필드고양"/>
        <s v="신세계파주2"/>
        <s v="안동5"/>
        <s v="일산킨텍스"/>
        <s v="태릉묵동6"/>
        <s v="포항2"/>
        <s v="포항중앙2"/>
        <s v="LXH목동"/>
        <s v="구리남양주2"/>
        <s v="김포5"/>
        <s v="롯데영등포"/>
        <s v="롯데인천(팝업)"/>
        <s v="부천3"/>
        <s v="송도4"/>
        <s v="신세계시흥2"/>
        <s v="의정부8"/>
        <s v="인천검단"/>
        <s v="인천중앙2"/>
        <s v="LXH창원"/>
        <s v="거제4"/>
        <s v="김해2"/>
        <s v="롯데광복2"/>
        <s v="롯데동부산2"/>
        <s v="마산6"/>
        <s v="양산3"/>
        <s v="연제4"/>
        <s v="울산4"/>
        <s v="진주2"/>
        <s v="창원3"/>
        <s v="하단3"/>
        <s v="강동6"/>
        <s v="기흥4"/>
        <s v="롯데광명"/>
        <s v="롯데동탄2"/>
        <s v="롯데안산(팝업)"/>
        <s v="롯데평촌"/>
        <s v="분당2"/>
        <s v="스타필드수원(6층)"/>
        <s v="스타필드수원키즈(3층)"/>
        <s v="안산상록수2"/>
        <s v="안양"/>
        <s v="평택4"/>
        <s v="강릉4"/>
        <s v="광천5"/>
        <s v="덕진2"/>
        <s v="봉선5"/>
        <s v="빛고을2"/>
        <s v="순천4"/>
        <s v="원주3"/>
        <s v="전군2"/>
        <s v="제주5"/>
        <s v="중화산4"/>
        <s v="춘천3"/>
        <m/>
      </sharedItems>
    </cacheField>
    <cacheField name="영업담당" numFmtId="0">
      <sharedItems containsBlank="1" count="7">
        <s v="김지수"/>
        <s v="김효진"/>
        <s v="서다솔"/>
        <s v="이광호"/>
        <s v="조성진"/>
        <s v="조아라"/>
        <m/>
      </sharedItems>
    </cacheField>
    <cacheField name="24 유통망구분" numFmtId="0">
      <sharedItems containsBlank="1"/>
    </cacheField>
    <cacheField name="특이사항" numFmtId="0">
      <sharedItems containsBlank="1"/>
    </cacheField>
    <cacheField name="25체결기준" numFmtId="0">
      <sharedItems containsBlank="1"/>
    </cacheField>
    <cacheField name="25계약 챙길부분" numFmtId="0">
      <sharedItems containsBlank="1"/>
    </cacheField>
    <cacheField name="계약체결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80">
  <r>
    <x v="0"/>
    <x v="0"/>
    <s v="투자형 B-Shop (로드)"/>
    <m/>
    <s v="투자형 B-Shop (로드)"/>
    <m/>
    <m/>
  </r>
  <r>
    <x v="1"/>
    <x v="0"/>
    <e v="#N/A"/>
    <s v="새로생김"/>
    <s v="b/s-shop (입점)"/>
    <s v="임대차"/>
    <m/>
  </r>
  <r>
    <x v="2"/>
    <x v="0"/>
    <s v="투자형 B-Shop (입점)"/>
    <s v="유형변경"/>
    <s v="b/s-shop (입점)"/>
    <s v="임대차"/>
    <m/>
  </r>
  <r>
    <x v="3"/>
    <x v="0"/>
    <s v="B/S-Shop"/>
    <m/>
    <s v="B/S-Shop"/>
    <m/>
    <s v="ㅇ"/>
  </r>
  <r>
    <x v="4"/>
    <x v="0"/>
    <s v="B/S-Shop"/>
    <m/>
    <s v="B/S-Shop"/>
    <m/>
    <s v="ㅇ"/>
  </r>
  <r>
    <x v="5"/>
    <x v="0"/>
    <s v="B/S-Shop"/>
    <m/>
    <s v="B/S-Shop"/>
    <m/>
    <s v="ㅇ"/>
  </r>
  <r>
    <x v="6"/>
    <x v="0"/>
    <e v="#N/A"/>
    <s v="왜지"/>
    <s v="투자형 B-Shop (입점)"/>
    <s v="임대차"/>
    <m/>
  </r>
  <r>
    <x v="7"/>
    <x v="0"/>
    <s v="B/S-Shop"/>
    <m/>
    <s v="B/S-Shop"/>
    <m/>
    <s v="ㅇ"/>
  </r>
  <r>
    <x v="8"/>
    <x v="0"/>
    <s v="투자형 B-Shop (로드)"/>
    <m/>
    <s v="투자형 B-Shop (로드)"/>
    <m/>
    <s v="ㅇ"/>
  </r>
  <r>
    <x v="9"/>
    <x v="0"/>
    <s v="B/S-Shop"/>
    <m/>
    <s v="B/S-Shop"/>
    <m/>
    <s v="ㅇ"/>
  </r>
  <r>
    <x v="10"/>
    <x v="0"/>
    <s v="B/S-Shop"/>
    <m/>
    <s v="B/S-Shop"/>
    <m/>
    <m/>
  </r>
  <r>
    <x v="11"/>
    <x v="0"/>
    <s v="B/S-Shop"/>
    <m/>
    <s v="B/S-Shop"/>
    <m/>
    <s v="ㅇ"/>
  </r>
  <r>
    <x v="12"/>
    <x v="1"/>
    <s v="B/S-Shop"/>
    <m/>
    <s v="B/S-Shop"/>
    <m/>
    <s v="ㅇ"/>
  </r>
  <r>
    <x v="13"/>
    <x v="1"/>
    <s v="B/S-Shop"/>
    <m/>
    <s v="B/S-Shop"/>
    <m/>
    <s v="ㅇ"/>
  </r>
  <r>
    <x v="14"/>
    <x v="1"/>
    <s v="B/S-Shop"/>
    <m/>
    <s v="B/S-Shop"/>
    <m/>
    <s v="ㅇ"/>
  </r>
  <r>
    <x v="15"/>
    <x v="1"/>
    <s v="B/S-Shop"/>
    <m/>
    <s v="B/S-Shop"/>
    <m/>
    <s v="ㅇ"/>
  </r>
  <r>
    <x v="16"/>
    <x v="1"/>
    <s v="투자형 B-Shop (입점)"/>
    <m/>
    <s v="투자형 B-Shop (입점)"/>
    <m/>
    <s v="ㅇ"/>
  </r>
  <r>
    <x v="17"/>
    <x v="1"/>
    <s v="투자형 B-Shop (입점)"/>
    <m/>
    <s v="투자형 B-Shop (입점)"/>
    <s v="임대차"/>
    <m/>
  </r>
  <r>
    <x v="18"/>
    <x v="1"/>
    <s v="B/S-Shop"/>
    <m/>
    <s v="B/S-Shop"/>
    <m/>
    <s v="ㅇ"/>
  </r>
  <r>
    <x v="19"/>
    <x v="1"/>
    <s v="B/S-Shop"/>
    <m/>
    <s v="B/S-Shop"/>
    <m/>
    <m/>
  </r>
  <r>
    <x v="20"/>
    <x v="1"/>
    <s v="B/S-Shop"/>
    <m/>
    <s v="B/S-Shop"/>
    <m/>
    <m/>
  </r>
  <r>
    <x v="21"/>
    <x v="1"/>
    <s v="B/S-Shop"/>
    <m/>
    <s v="B/S-Shop"/>
    <m/>
    <s v="ㅇ"/>
  </r>
  <r>
    <x v="22"/>
    <x v="1"/>
    <s v="B/S-Shop"/>
    <m/>
    <s v="B/S-Shop"/>
    <m/>
    <s v="ㅇ"/>
  </r>
  <r>
    <x v="23"/>
    <x v="2"/>
    <s v="투자형 B-Shop (로드)"/>
    <m/>
    <s v="투자형 B-Shop (로드)"/>
    <s v="임대차"/>
    <s v="ㅇ"/>
  </r>
  <r>
    <x v="24"/>
    <x v="2"/>
    <s v="B/S-Shop"/>
    <m/>
    <s v="B/S-Shop"/>
    <m/>
    <s v="ㅇ"/>
  </r>
  <r>
    <x v="25"/>
    <x v="2"/>
    <s v="B/S-Shop"/>
    <m/>
    <s v="B/S-Shop"/>
    <m/>
    <s v="ㅇ"/>
  </r>
  <r>
    <x v="26"/>
    <x v="2"/>
    <e v="#N/A"/>
    <s v="새로생김"/>
    <s v="b/s-shop (입점)"/>
    <s v="임대차"/>
    <s v="ㅇ"/>
  </r>
  <r>
    <x v="27"/>
    <x v="2"/>
    <e v="#N/A"/>
    <s v="새로생김"/>
    <s v="b/s-shop (입점)"/>
    <s v="임대차"/>
    <s v="ㅇ"/>
  </r>
  <r>
    <x v="28"/>
    <x v="2"/>
    <s v="B/S-Shop"/>
    <m/>
    <s v="B/S-Shop"/>
    <m/>
    <s v="ㅇ"/>
  </r>
  <r>
    <x v="29"/>
    <x v="2"/>
    <s v="투자형 B-Shop (입점)"/>
    <m/>
    <s v="투자형 B-Shop (입점)"/>
    <s v="임대차"/>
    <s v="ㅇ"/>
  </r>
  <r>
    <x v="30"/>
    <x v="2"/>
    <e v="#N/A"/>
    <s v="새로생김"/>
    <s v="투자형 B-Shop (입점)"/>
    <m/>
    <m/>
  </r>
  <r>
    <x v="31"/>
    <x v="2"/>
    <s v="B/S-Shop"/>
    <m/>
    <s v="B/S-Shop"/>
    <m/>
    <s v="ㅇ"/>
  </r>
  <r>
    <x v="32"/>
    <x v="2"/>
    <s v="투자형 B-Shop (로드)"/>
    <m/>
    <s v="투자형 B-Shop (로드)"/>
    <m/>
    <s v="ㅇ"/>
  </r>
  <r>
    <x v="33"/>
    <x v="2"/>
    <s v="B/S-Shop"/>
    <m/>
    <s v="B/S-Shop"/>
    <m/>
    <s v="ㅇ"/>
  </r>
  <r>
    <x v="34"/>
    <x v="3"/>
    <s v="투자형 B-Shop (로드)"/>
    <m/>
    <s v="투자형 B-Shop (로드)"/>
    <s v="임대차"/>
    <m/>
  </r>
  <r>
    <x v="35"/>
    <x v="3"/>
    <e v="#N/A"/>
    <s v="새로생김"/>
    <s v="B/S-Shop"/>
    <m/>
    <s v="ㅇ"/>
  </r>
  <r>
    <x v="36"/>
    <x v="3"/>
    <s v="B/S-Shop"/>
    <m/>
    <s v="B/S-Shop"/>
    <m/>
    <m/>
  </r>
  <r>
    <x v="37"/>
    <x v="3"/>
    <e v="#N/A"/>
    <s v="새로생김"/>
    <s v="b/s-shop (입점)"/>
    <m/>
    <s v="ㅇ"/>
  </r>
  <r>
    <x v="38"/>
    <x v="3"/>
    <s v="투자형 B-Shop (입점)"/>
    <m/>
    <s v="투자형 B-Shop (입점)"/>
    <m/>
    <s v="ㅇ"/>
  </r>
  <r>
    <x v="39"/>
    <x v="3"/>
    <s v="B/S-Shop"/>
    <m/>
    <s v="B/S-Shop"/>
    <m/>
    <s v="ㅇ"/>
  </r>
  <r>
    <x v="40"/>
    <x v="3"/>
    <s v="B/S-Shop"/>
    <m/>
    <s v="B/S-Shop"/>
    <m/>
    <s v="ㅇ"/>
  </r>
  <r>
    <x v="41"/>
    <x v="3"/>
    <s v="B/S-Shop"/>
    <m/>
    <s v="B/S-Shop"/>
    <m/>
    <s v="ㅇ"/>
  </r>
  <r>
    <x v="42"/>
    <x v="3"/>
    <s v="투자형 B-Shop (로드)"/>
    <m/>
    <s v="투자형 B-Shop (로드)"/>
    <m/>
    <s v="ㅇ"/>
  </r>
  <r>
    <x v="43"/>
    <x v="3"/>
    <s v="B/S-Shop"/>
    <m/>
    <s v="B/S-Shop"/>
    <m/>
    <s v="ㅇ"/>
  </r>
  <r>
    <x v="44"/>
    <x v="3"/>
    <s v="B/S-Shop"/>
    <m/>
    <s v="B/S-Shop"/>
    <m/>
    <m/>
  </r>
  <r>
    <x v="45"/>
    <x v="3"/>
    <s v="B/S-Shop"/>
    <m/>
    <s v="B/S-Shop"/>
    <m/>
    <m/>
  </r>
  <r>
    <x v="46"/>
    <x v="4"/>
    <s v="투자형 B-Shop (로드)"/>
    <m/>
    <s v="투자형 B-Shop (로드)"/>
    <m/>
    <m/>
  </r>
  <r>
    <x v="47"/>
    <x v="4"/>
    <s v="투자형 B-Shop (입점)"/>
    <m/>
    <s v="투자형 B-Shop (입점)"/>
    <m/>
    <s v="ㅇ"/>
  </r>
  <r>
    <x v="48"/>
    <x v="4"/>
    <s v="투자형 B-Shop (입점)"/>
    <m/>
    <s v="투자형 B-Shop (입점)"/>
    <m/>
    <s v="ㅇ"/>
  </r>
  <r>
    <x v="49"/>
    <x v="4"/>
    <s v="투자형 B-Shop (입점)"/>
    <s v="유형변경"/>
    <s v="b/s-shop (입점)"/>
    <s v="임대차"/>
    <s v="ㅇ"/>
  </r>
  <r>
    <x v="50"/>
    <x v="4"/>
    <e v="#N/A"/>
    <s v="새로생김"/>
    <s v="b/s-shop (입점)"/>
    <s v="임대차"/>
    <m/>
  </r>
  <r>
    <x v="51"/>
    <x v="4"/>
    <s v="투자형 B-Shop (입점)"/>
    <m/>
    <s v="투자형 B-Shop (입점)"/>
    <s v="임대차"/>
    <s v="ㅇ"/>
  </r>
  <r>
    <x v="52"/>
    <x v="4"/>
    <s v="B/S-Shop"/>
    <m/>
    <s v="B/S-Shop"/>
    <m/>
    <m/>
  </r>
  <r>
    <x v="53"/>
    <x v="4"/>
    <s v="투자형 B-Shop (입점)"/>
    <m/>
    <s v="투자형 B-Shop (입점)"/>
    <m/>
    <s v="ㅇ"/>
  </r>
  <r>
    <x v="54"/>
    <x v="4"/>
    <s v="투자형 B-Shop (입점)"/>
    <m/>
    <s v="투자형 B-Shop (입점)"/>
    <m/>
    <s v="ㅇ"/>
  </r>
  <r>
    <x v="55"/>
    <x v="4"/>
    <s v="B/S-Shop"/>
    <m/>
    <s v="B/S-Shop"/>
    <m/>
    <m/>
  </r>
  <r>
    <x v="56"/>
    <x v="4"/>
    <s v="투자형 B-Shop (로드)"/>
    <m/>
    <s v="투자형 B-Shop (로드)"/>
    <m/>
    <s v="ㅇ"/>
  </r>
  <r>
    <x v="57"/>
    <x v="4"/>
    <s v="B/S-Shop"/>
    <m/>
    <s v="B/S-Shop"/>
    <m/>
    <s v="ㅇ"/>
  </r>
  <r>
    <x v="58"/>
    <x v="5"/>
    <s v="B/S-Shop"/>
    <m/>
    <s v="B/S-Shop"/>
    <m/>
    <s v="ㅇ"/>
  </r>
  <r>
    <x v="59"/>
    <x v="5"/>
    <s v="투자형 B-Shop (로드)"/>
    <m/>
    <s v="투자형 B-Shop (로드)"/>
    <s v="임대차"/>
    <s v="ㅇ"/>
  </r>
  <r>
    <x v="60"/>
    <x v="5"/>
    <s v="B/S-Shop"/>
    <m/>
    <s v="B/S-Shop"/>
    <m/>
    <s v="ㅇ"/>
  </r>
  <r>
    <x v="61"/>
    <x v="5"/>
    <s v="B/S-Shop"/>
    <m/>
    <s v="B/S-Shop"/>
    <m/>
    <s v="ㅇ"/>
  </r>
  <r>
    <x v="62"/>
    <x v="5"/>
    <s v="B/S-Shop"/>
    <m/>
    <s v="B/S-Shop"/>
    <m/>
    <s v="ㅇ"/>
  </r>
  <r>
    <x v="63"/>
    <x v="5"/>
    <s v="B/S-Shop"/>
    <m/>
    <s v="B/S-Shop"/>
    <m/>
    <s v="ㅇ"/>
  </r>
  <r>
    <x v="64"/>
    <x v="5"/>
    <s v="B/S-Shop"/>
    <m/>
    <s v="B/S-Shop"/>
    <m/>
    <s v="ㅇ"/>
  </r>
  <r>
    <x v="65"/>
    <x v="5"/>
    <s v="B/S-Shop"/>
    <m/>
    <s v="B/S-Shop"/>
    <m/>
    <s v="ㅇ"/>
  </r>
  <r>
    <x v="66"/>
    <x v="5"/>
    <s v="투자형 B-Shop (로드)"/>
    <m/>
    <s v="투자형 B-Shop (로드)"/>
    <m/>
    <s v="ㅇ"/>
  </r>
  <r>
    <x v="67"/>
    <x v="5"/>
    <s v="B/S-Shop"/>
    <m/>
    <s v="B/S-Shop"/>
    <m/>
    <s v="ㅇ"/>
  </r>
  <r>
    <x v="68"/>
    <x v="5"/>
    <s v="B/S-Shop"/>
    <m/>
    <s v="B/S-Shop"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피벗 테이블1" cacheId="0" applyNumberFormats="0" applyBorderFormats="0" applyFontFormats="0" applyPatternFormats="0" applyAlignmentFormats="0" applyWidthHeightFormats="1" dataCaption="값" updatedVersion="4" minRefreshableVersion="3" useAutoFormatting="1" itemPrintTitles="1" createdVersion="4" indent="0" outline="1" outlineData="1" multipleFieldFilters="0">
  <location ref="J2:K80" firstHeaderRow="1" firstDataRow="1" firstDataCol="1"/>
  <pivotFields count="7">
    <pivotField axis="axisRow" showAll="0">
      <items count="71">
        <item x="23"/>
        <item x="34"/>
        <item x="46"/>
        <item x="58"/>
        <item x="35"/>
        <item x="12"/>
        <item x="59"/>
        <item x="24"/>
        <item x="13"/>
        <item x="47"/>
        <item x="25"/>
        <item x="36"/>
        <item x="14"/>
        <item x="0"/>
        <item x="60"/>
        <item x="48"/>
        <item x="37"/>
        <item x="38"/>
        <item x="49"/>
        <item x="1"/>
        <item x="50"/>
        <item x="26"/>
        <item x="27"/>
        <item x="2"/>
        <item x="51"/>
        <item x="39"/>
        <item x="61"/>
        <item x="28"/>
        <item x="52"/>
        <item x="62"/>
        <item x="3"/>
        <item x="4"/>
        <item x="5"/>
        <item x="29"/>
        <item x="15"/>
        <item x="63"/>
        <item x="16"/>
        <item x="53"/>
        <item x="54"/>
        <item x="6"/>
        <item x="30"/>
        <item x="17"/>
        <item x="18"/>
        <item x="55"/>
        <item x="56"/>
        <item x="40"/>
        <item x="41"/>
        <item x="42"/>
        <item x="64"/>
        <item x="31"/>
        <item x="32"/>
        <item x="33"/>
        <item x="19"/>
        <item x="65"/>
        <item x="66"/>
        <item x="67"/>
        <item x="43"/>
        <item x="44"/>
        <item x="7"/>
        <item x="8"/>
        <item x="9"/>
        <item x="10"/>
        <item x="11"/>
        <item x="68"/>
        <item x="20"/>
        <item x="57"/>
        <item x="21"/>
        <item x="22"/>
        <item x="45"/>
        <item x="69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1"/>
    <field x="0"/>
  </rowFields>
  <rowItems count="78">
    <i>
      <x/>
    </i>
    <i r="1">
      <x v="13"/>
    </i>
    <i r="1">
      <x v="19"/>
    </i>
    <i r="1">
      <x v="23"/>
    </i>
    <i r="1">
      <x v="30"/>
    </i>
    <i r="1">
      <x v="31"/>
    </i>
    <i r="1">
      <x v="32"/>
    </i>
    <i r="1">
      <x v="39"/>
    </i>
    <i r="1">
      <x v="58"/>
    </i>
    <i r="1">
      <x v="59"/>
    </i>
    <i r="1">
      <x v="60"/>
    </i>
    <i r="1">
      <x v="61"/>
    </i>
    <i r="1">
      <x v="62"/>
    </i>
    <i>
      <x v="1"/>
    </i>
    <i r="1">
      <x v="5"/>
    </i>
    <i r="1">
      <x v="8"/>
    </i>
    <i r="1">
      <x v="12"/>
    </i>
    <i r="1">
      <x v="34"/>
    </i>
    <i r="1">
      <x v="36"/>
    </i>
    <i r="1">
      <x v="41"/>
    </i>
    <i r="1">
      <x v="42"/>
    </i>
    <i r="1">
      <x v="52"/>
    </i>
    <i r="1">
      <x v="64"/>
    </i>
    <i r="1">
      <x v="66"/>
    </i>
    <i r="1">
      <x v="67"/>
    </i>
    <i>
      <x v="2"/>
    </i>
    <i r="1">
      <x/>
    </i>
    <i r="1">
      <x v="7"/>
    </i>
    <i r="1">
      <x v="10"/>
    </i>
    <i r="1">
      <x v="21"/>
    </i>
    <i r="1">
      <x v="22"/>
    </i>
    <i r="1">
      <x v="27"/>
    </i>
    <i r="1">
      <x v="33"/>
    </i>
    <i r="1">
      <x v="40"/>
    </i>
    <i r="1">
      <x v="49"/>
    </i>
    <i r="1">
      <x v="50"/>
    </i>
    <i r="1">
      <x v="51"/>
    </i>
    <i>
      <x v="3"/>
    </i>
    <i r="1">
      <x v="1"/>
    </i>
    <i r="1">
      <x v="4"/>
    </i>
    <i r="1">
      <x v="11"/>
    </i>
    <i r="1">
      <x v="16"/>
    </i>
    <i r="1">
      <x v="17"/>
    </i>
    <i r="1">
      <x v="25"/>
    </i>
    <i r="1">
      <x v="45"/>
    </i>
    <i r="1">
      <x v="46"/>
    </i>
    <i r="1">
      <x v="47"/>
    </i>
    <i r="1">
      <x v="56"/>
    </i>
    <i r="1">
      <x v="57"/>
    </i>
    <i r="1">
      <x v="68"/>
    </i>
    <i>
      <x v="4"/>
    </i>
    <i r="1">
      <x v="2"/>
    </i>
    <i r="1">
      <x v="9"/>
    </i>
    <i r="1">
      <x v="15"/>
    </i>
    <i r="1">
      <x v="18"/>
    </i>
    <i r="1">
      <x v="20"/>
    </i>
    <i r="1">
      <x v="24"/>
    </i>
    <i r="1">
      <x v="28"/>
    </i>
    <i r="1">
      <x v="37"/>
    </i>
    <i r="1">
      <x v="38"/>
    </i>
    <i r="1">
      <x v="43"/>
    </i>
    <i r="1">
      <x v="44"/>
    </i>
    <i r="1">
      <x v="65"/>
    </i>
    <i>
      <x v="5"/>
    </i>
    <i r="1">
      <x v="3"/>
    </i>
    <i r="1">
      <x v="6"/>
    </i>
    <i r="1">
      <x v="14"/>
    </i>
    <i r="1">
      <x v="26"/>
    </i>
    <i r="1">
      <x v="29"/>
    </i>
    <i r="1">
      <x v="35"/>
    </i>
    <i r="1">
      <x v="48"/>
    </i>
    <i r="1">
      <x v="53"/>
    </i>
    <i r="1">
      <x v="54"/>
    </i>
    <i r="1">
      <x v="55"/>
    </i>
    <i r="1">
      <x v="63"/>
    </i>
    <i>
      <x v="6"/>
    </i>
    <i r="1">
      <x v="69"/>
    </i>
    <i t="grand">
      <x/>
    </i>
  </rowItems>
  <colItems count="1">
    <i/>
  </colItems>
  <dataFields count="1">
    <dataField name="개수 : 계약체결" fld="6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ep.fursys.com/WebFlow/view.do?flowNo=eZYVZRVMHFi3XWVIQMM-vLkQrhQ2A-9N04z4NA3_6U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myiloom@naver.com" TargetMode="External"/><Relationship Id="rId1" Type="http://schemas.openxmlformats.org/officeDocument/2006/relationships/hyperlink" Target="mailto:heraseo219@naver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40"/>
  <sheetViews>
    <sheetView showGridLines="0" view="pageBreakPreview" zoomScale="85" zoomScaleNormal="100" zoomScaleSheetLayoutView="85" workbookViewId="0">
      <pane ySplit="6" topLeftCell="A322" activePane="bottomLeft" state="frozen"/>
      <selection pane="bottomLeft" activeCell="L20" sqref="L20"/>
    </sheetView>
  </sheetViews>
  <sheetFormatPr defaultColWidth="8.83203125" defaultRowHeight="17" x14ac:dyDescent="0.45"/>
  <cols>
    <col min="1" max="1" width="2.6640625" style="15" customWidth="1"/>
    <col min="2" max="2" width="12.6640625" style="15" customWidth="1"/>
    <col min="3" max="3" width="14.08203125" style="15" customWidth="1"/>
    <col min="4" max="7" width="12.6640625" style="15" customWidth="1"/>
    <col min="8" max="8" width="10.1640625" style="15" customWidth="1"/>
    <col min="9" max="9" width="12.6640625" style="16" customWidth="1"/>
    <col min="10" max="10" width="10.58203125" style="15" customWidth="1"/>
    <col min="11" max="11" width="2.6640625" style="15" customWidth="1"/>
    <col min="12" max="12" width="20.08203125" style="114" customWidth="1"/>
    <col min="13" max="13" width="34.1640625" style="114" bestFit="1" customWidth="1"/>
    <col min="14" max="14" width="20.9140625" style="114" bestFit="1" customWidth="1"/>
    <col min="15" max="15" width="25" style="114" bestFit="1" customWidth="1"/>
    <col min="16" max="16" width="53.58203125" style="114" customWidth="1"/>
    <col min="17" max="17" width="14.1640625" style="114" bestFit="1" customWidth="1"/>
    <col min="18" max="18" width="7.1640625" style="114" bestFit="1" customWidth="1"/>
    <col min="19" max="19" width="58.58203125" style="114" customWidth="1"/>
    <col min="20" max="20" width="8.83203125" style="114" customWidth="1"/>
    <col min="21" max="16384" width="8.83203125" style="114"/>
  </cols>
  <sheetData>
    <row r="1" spans="1:16" x14ac:dyDescent="0.45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6" x14ac:dyDescent="0.45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56" t="s">
        <v>0</v>
      </c>
      <c r="M2" s="56" t="s">
        <v>1</v>
      </c>
      <c r="N2" s="56" t="s">
        <v>2</v>
      </c>
      <c r="O2" s="56" t="s">
        <v>3</v>
      </c>
    </row>
    <row r="3" spans="1:16" x14ac:dyDescent="0.45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56" t="s">
        <v>4</v>
      </c>
      <c r="M3" s="56" t="s">
        <v>5</v>
      </c>
      <c r="N3" s="56" t="s">
        <v>6</v>
      </c>
      <c r="O3" s="56" t="s">
        <v>7</v>
      </c>
    </row>
    <row r="4" spans="1:16" x14ac:dyDescent="0.45">
      <c r="A4" s="1"/>
      <c r="B4" s="43"/>
      <c r="C4" s="43"/>
      <c r="D4" s="43"/>
      <c r="E4" s="43"/>
      <c r="F4" s="43"/>
      <c r="G4" s="43"/>
      <c r="H4" s="43"/>
      <c r="I4" s="43"/>
      <c r="J4" s="43"/>
      <c r="K4" s="1"/>
      <c r="M4" s="56" t="s">
        <v>8</v>
      </c>
      <c r="N4" s="56" t="s">
        <v>9</v>
      </c>
      <c r="O4" s="56" t="s">
        <v>10</v>
      </c>
      <c r="P4" s="56" t="s">
        <v>11</v>
      </c>
    </row>
    <row r="5" spans="1:16" x14ac:dyDescent="0.45">
      <c r="A5" s="1"/>
      <c r="B5" s="43"/>
      <c r="C5" s="43"/>
      <c r="D5" s="43"/>
      <c r="E5" s="43"/>
      <c r="F5" s="43"/>
      <c r="G5" s="43"/>
      <c r="H5" s="43"/>
      <c r="I5" s="43"/>
      <c r="J5" s="43"/>
      <c r="K5" s="1"/>
      <c r="M5" s="56" t="s">
        <v>12</v>
      </c>
      <c r="N5" s="56" t="s">
        <v>13</v>
      </c>
      <c r="O5" s="56" t="s">
        <v>14</v>
      </c>
      <c r="P5" s="56" t="s">
        <v>15</v>
      </c>
    </row>
    <row r="6" spans="1:16" ht="20.399999999999999" customHeight="1" x14ac:dyDescent="0.45">
      <c r="A6" s="145" t="s">
        <v>16</v>
      </c>
      <c r="B6" s="146"/>
      <c r="C6" s="146"/>
      <c r="D6" s="146"/>
      <c r="E6" s="146"/>
      <c r="F6" s="146"/>
      <c r="G6" s="146"/>
      <c r="H6" s="146"/>
      <c r="I6" s="147"/>
      <c r="J6" s="146"/>
      <c r="K6" s="146"/>
      <c r="L6" s="114" t="s">
        <v>17</v>
      </c>
      <c r="M6" s="119">
        <v>46143</v>
      </c>
    </row>
    <row r="7" spans="1:16" x14ac:dyDescent="0.45">
      <c r="A7" s="1"/>
      <c r="B7" s="43"/>
      <c r="C7" s="32"/>
      <c r="D7" s="43"/>
      <c r="E7" s="43"/>
      <c r="F7" s="43"/>
      <c r="G7" s="43"/>
      <c r="H7" s="43"/>
      <c r="I7" s="43"/>
      <c r="J7" s="43"/>
      <c r="K7" s="1"/>
    </row>
    <row r="8" spans="1:16" x14ac:dyDescent="0.45">
      <c r="A8" s="1"/>
      <c r="B8" s="43"/>
      <c r="C8" s="32"/>
      <c r="D8" s="43"/>
      <c r="E8" s="43"/>
      <c r="F8" s="43"/>
      <c r="G8" s="43"/>
      <c r="H8" s="43"/>
      <c r="I8" s="43"/>
      <c r="J8" s="43"/>
      <c r="K8" s="1"/>
    </row>
    <row r="9" spans="1:16" x14ac:dyDescent="0.45">
      <c r="A9" s="1"/>
      <c r="B9" s="43"/>
      <c r="C9" s="32"/>
      <c r="D9" s="43"/>
      <c r="E9" s="43"/>
      <c r="F9" s="43"/>
      <c r="G9" s="43"/>
      <c r="H9" s="43"/>
      <c r="I9" s="43"/>
      <c r="J9" s="43"/>
      <c r="K9" s="1"/>
    </row>
    <row r="10" spans="1:16" x14ac:dyDescent="0.45">
      <c r="A10" s="1"/>
      <c r="B10" s="43"/>
      <c r="C10" s="32"/>
      <c r="D10" s="43"/>
      <c r="E10" s="43"/>
      <c r="F10" s="43"/>
      <c r="G10" s="43"/>
      <c r="H10" s="43"/>
      <c r="I10" s="43"/>
      <c r="J10" s="43"/>
      <c r="K10" s="1"/>
    </row>
    <row r="11" spans="1:16" x14ac:dyDescent="0.45">
      <c r="A11" s="1"/>
      <c r="B11" s="43"/>
      <c r="C11" s="32"/>
      <c r="D11" s="43"/>
      <c r="E11" s="43"/>
      <c r="F11" s="43"/>
      <c r="G11" s="43"/>
      <c r="H11" s="43"/>
      <c r="I11" s="43"/>
      <c r="J11" s="43"/>
      <c r="K11" s="1"/>
    </row>
    <row r="12" spans="1:16" x14ac:dyDescent="0.45">
      <c r="A12" s="1"/>
      <c r="B12" s="43"/>
      <c r="C12" s="32"/>
      <c r="D12" s="43"/>
      <c r="E12" s="43"/>
      <c r="F12" s="43"/>
      <c r="G12" s="43"/>
      <c r="H12" s="43"/>
      <c r="I12" s="43"/>
      <c r="J12" s="43"/>
      <c r="K12" s="1"/>
    </row>
    <row r="13" spans="1:16" x14ac:dyDescent="0.45">
      <c r="A13" s="1"/>
      <c r="B13" s="43"/>
      <c r="C13" s="34"/>
      <c r="D13" s="43"/>
      <c r="E13" s="43"/>
      <c r="F13" s="43"/>
      <c r="G13" s="43"/>
      <c r="H13" s="43"/>
      <c r="I13" s="43"/>
      <c r="J13" s="43"/>
      <c r="K13" s="1"/>
    </row>
    <row r="14" spans="1:16" x14ac:dyDescent="0.45">
      <c r="A14" s="1"/>
      <c r="B14" s="43"/>
      <c r="C14" s="34"/>
      <c r="D14" s="43"/>
      <c r="E14" s="43"/>
      <c r="F14" s="43"/>
      <c r="G14" s="43"/>
      <c r="H14" s="43"/>
      <c r="I14" s="43"/>
      <c r="J14" s="43"/>
      <c r="K14" s="1"/>
    </row>
    <row r="15" spans="1:16" x14ac:dyDescent="0.45">
      <c r="A15" s="1"/>
      <c r="B15" s="43"/>
      <c r="C15" s="28" t="s">
        <v>18</v>
      </c>
      <c r="D15" s="43" t="s">
        <v>5</v>
      </c>
      <c r="E15" s="43"/>
      <c r="F15" s="43"/>
      <c r="G15" s="43"/>
      <c r="H15" s="43"/>
      <c r="I15" s="43"/>
      <c r="J15" s="43"/>
      <c r="K15" s="1"/>
      <c r="L15" s="114" t="s">
        <v>19</v>
      </c>
    </row>
    <row r="16" spans="1:16" x14ac:dyDescent="0.45">
      <c r="A16" s="1"/>
      <c r="B16" s="43"/>
      <c r="C16" s="28"/>
      <c r="D16" s="43"/>
      <c r="E16" s="43"/>
      <c r="F16" s="43"/>
      <c r="G16" s="43"/>
      <c r="H16" s="43"/>
      <c r="I16" s="43"/>
      <c r="J16" s="43"/>
      <c r="K16" s="1"/>
    </row>
    <row r="17" spans="1:13" x14ac:dyDescent="0.45">
      <c r="A17" s="1"/>
      <c r="B17" s="43"/>
      <c r="C17" s="32"/>
      <c r="D17" s="43"/>
      <c r="E17" s="43"/>
      <c r="F17" s="43"/>
      <c r="G17" s="43"/>
      <c r="H17" s="43"/>
      <c r="I17" s="43"/>
      <c r="J17" s="43"/>
      <c r="K17" s="1"/>
    </row>
    <row r="18" spans="1:13" x14ac:dyDescent="0.45">
      <c r="A18" s="1"/>
      <c r="B18" s="43"/>
      <c r="C18" s="28" t="s">
        <v>20</v>
      </c>
      <c r="D18" s="43" t="s">
        <v>7</v>
      </c>
      <c r="E18" s="43"/>
      <c r="F18" s="43"/>
      <c r="G18" s="43"/>
      <c r="H18" s="43"/>
      <c r="I18" s="43"/>
      <c r="J18" s="43"/>
      <c r="K18" s="1"/>
      <c r="L18" s="114" t="s">
        <v>19</v>
      </c>
    </row>
    <row r="19" spans="1:13" x14ac:dyDescent="0.45">
      <c r="A19" s="1"/>
      <c r="B19" s="43"/>
      <c r="C19" s="43"/>
      <c r="D19" s="43"/>
      <c r="E19" s="43"/>
      <c r="F19" s="43"/>
      <c r="G19" s="43"/>
      <c r="H19" s="43"/>
      <c r="I19" s="43"/>
      <c r="J19" s="43"/>
      <c r="K19" s="1"/>
      <c r="M19" s="43"/>
    </row>
    <row r="20" spans="1:13" x14ac:dyDescent="0.45">
      <c r="A20" s="1"/>
      <c r="B20" s="43"/>
      <c r="C20" s="32"/>
      <c r="D20" s="43"/>
      <c r="E20" s="43"/>
      <c r="F20" s="43"/>
      <c r="G20" s="43"/>
      <c r="H20" s="43"/>
      <c r="I20" s="43"/>
      <c r="J20" s="43"/>
      <c r="K20" s="1"/>
      <c r="M20" s="43" t="s">
        <v>21</v>
      </c>
    </row>
    <row r="21" spans="1:13" x14ac:dyDescent="0.45">
      <c r="A21" s="1"/>
      <c r="B21" s="43"/>
      <c r="C21" s="28" t="s">
        <v>22</v>
      </c>
      <c r="D21" s="43" t="s">
        <v>6</v>
      </c>
      <c r="E21" s="43"/>
      <c r="F21" s="43"/>
      <c r="G21" s="43"/>
      <c r="H21" s="43"/>
      <c r="I21" s="43"/>
      <c r="J21" s="43"/>
      <c r="K21" s="1"/>
      <c r="L21" s="114" t="s">
        <v>19</v>
      </c>
      <c r="M21" s="114" t="s">
        <v>23</v>
      </c>
    </row>
    <row r="22" spans="1:13" x14ac:dyDescent="0.45">
      <c r="A22" s="1"/>
      <c r="B22" s="43"/>
      <c r="C22" s="28"/>
      <c r="D22" s="43"/>
      <c r="E22" s="43"/>
      <c r="F22" s="43"/>
      <c r="G22" s="43"/>
      <c r="H22" s="43"/>
      <c r="I22" s="43"/>
      <c r="J22" s="43"/>
      <c r="K22" s="1"/>
    </row>
    <row r="23" spans="1:13" x14ac:dyDescent="0.45">
      <c r="A23" s="1"/>
      <c r="B23" s="43"/>
      <c r="C23" s="32"/>
      <c r="D23" s="43"/>
      <c r="E23" s="43"/>
      <c r="F23" s="43"/>
      <c r="G23" s="43"/>
      <c r="H23" s="43"/>
      <c r="I23" s="43"/>
      <c r="J23" s="43"/>
      <c r="K23" s="1"/>
    </row>
    <row r="24" spans="1:13" x14ac:dyDescent="0.45">
      <c r="A24" s="1"/>
      <c r="B24" s="43"/>
      <c r="C24" s="28" t="s">
        <v>24</v>
      </c>
      <c r="D24" s="43"/>
      <c r="E24" s="43"/>
      <c r="F24" s="43"/>
      <c r="G24" s="43"/>
      <c r="H24" s="43"/>
      <c r="I24" s="43"/>
      <c r="J24" s="43"/>
      <c r="K24" s="1"/>
    </row>
    <row r="25" spans="1:13" x14ac:dyDescent="0.45">
      <c r="A25" s="1"/>
      <c r="B25" s="43"/>
      <c r="C25" s="32" t="s">
        <v>25</v>
      </c>
      <c r="D25" s="43"/>
      <c r="E25" s="43"/>
      <c r="F25" s="43"/>
      <c r="G25" s="43"/>
      <c r="H25" s="43"/>
      <c r="I25" s="43"/>
      <c r="J25" s="43"/>
      <c r="K25" s="1"/>
    </row>
    <row r="26" spans="1:13" x14ac:dyDescent="0.45">
      <c r="A26" s="1"/>
      <c r="B26" s="43"/>
      <c r="C26" s="32" t="s">
        <v>26</v>
      </c>
      <c r="D26" s="43"/>
      <c r="E26" s="43"/>
      <c r="F26" s="43"/>
      <c r="G26" s="43"/>
      <c r="H26" s="43"/>
      <c r="I26" s="43"/>
      <c r="J26" s="43"/>
      <c r="K26" s="1"/>
    </row>
    <row r="27" spans="1:13" x14ac:dyDescent="0.45">
      <c r="A27" s="1"/>
      <c r="B27" s="43"/>
      <c r="C27" s="34"/>
      <c r="D27" s="43"/>
      <c r="E27" s="43"/>
      <c r="F27" s="43"/>
      <c r="G27" s="43"/>
      <c r="H27" s="43"/>
      <c r="I27" s="43"/>
      <c r="J27" s="43"/>
      <c r="K27" s="1"/>
    </row>
    <row r="28" spans="1:13" x14ac:dyDescent="0.45">
      <c r="A28" s="1"/>
      <c r="B28" s="43"/>
      <c r="C28" s="34"/>
      <c r="D28" s="43"/>
      <c r="E28" s="43"/>
      <c r="F28" s="43"/>
      <c r="G28" s="43"/>
      <c r="H28" s="43"/>
      <c r="I28" s="43"/>
      <c r="J28" s="43"/>
      <c r="K28" s="1"/>
    </row>
    <row r="29" spans="1:13" x14ac:dyDescent="0.45">
      <c r="A29" s="1"/>
      <c r="B29" s="43"/>
      <c r="C29" s="34"/>
      <c r="D29" s="43"/>
      <c r="E29" s="43"/>
      <c r="F29" s="43"/>
      <c r="G29" s="43"/>
      <c r="H29" s="43"/>
      <c r="I29" s="43"/>
      <c r="J29" s="43"/>
      <c r="K29" s="1"/>
    </row>
    <row r="30" spans="1:13" x14ac:dyDescent="0.45">
      <c r="A30" s="1"/>
      <c r="B30" s="43"/>
      <c r="C30" s="34"/>
      <c r="D30" s="43"/>
      <c r="E30" s="43"/>
      <c r="F30" s="43"/>
      <c r="G30" s="43"/>
      <c r="H30" s="43"/>
      <c r="I30" s="43"/>
      <c r="J30" s="43"/>
      <c r="K30" s="1"/>
    </row>
    <row r="31" spans="1:13" x14ac:dyDescent="0.45">
      <c r="A31" s="1"/>
      <c r="B31" s="43"/>
      <c r="C31" s="34"/>
      <c r="D31" s="43"/>
      <c r="E31" s="43"/>
      <c r="F31" s="43"/>
      <c r="G31" s="43"/>
      <c r="H31" s="43"/>
      <c r="I31" s="43"/>
      <c r="J31" s="43"/>
      <c r="K31" s="1"/>
    </row>
    <row r="32" spans="1:13" x14ac:dyDescent="0.45">
      <c r="A32" s="1"/>
      <c r="B32" s="43"/>
      <c r="C32" s="34"/>
      <c r="D32" s="43"/>
      <c r="E32" s="43"/>
      <c r="F32" s="43"/>
      <c r="G32" s="43"/>
      <c r="H32" s="43"/>
      <c r="I32" s="43"/>
      <c r="J32" s="43"/>
      <c r="K32" s="1"/>
    </row>
    <row r="33" spans="1:12" x14ac:dyDescent="0.45">
      <c r="A33" s="148" t="s">
        <v>27</v>
      </c>
      <c r="B33" s="146"/>
      <c r="C33" s="146"/>
      <c r="D33" s="146"/>
      <c r="E33" s="146"/>
      <c r="F33" s="146"/>
      <c r="G33" s="146"/>
      <c r="H33" s="146"/>
      <c r="I33" s="147"/>
      <c r="J33" s="146"/>
      <c r="K33" s="146"/>
      <c r="L33" s="114" t="s">
        <v>19</v>
      </c>
    </row>
    <row r="34" spans="1:12" x14ac:dyDescent="0.45">
      <c r="A34" s="148" t="s">
        <v>28</v>
      </c>
      <c r="B34" s="146"/>
      <c r="C34" s="146"/>
      <c r="D34" s="146"/>
      <c r="E34" s="146"/>
      <c r="F34" s="146"/>
      <c r="G34" s="146"/>
      <c r="H34" s="146"/>
      <c r="I34" s="147"/>
      <c r="J34" s="146"/>
      <c r="K34" s="146"/>
    </row>
    <row r="35" spans="1:12" x14ac:dyDescent="0.45">
      <c r="A35" s="148" t="s">
        <v>29</v>
      </c>
      <c r="B35" s="146"/>
      <c r="C35" s="146"/>
      <c r="D35" s="146"/>
      <c r="E35" s="146"/>
      <c r="F35" s="146"/>
      <c r="G35" s="146"/>
      <c r="H35" s="146"/>
      <c r="I35" s="147"/>
      <c r="J35" s="146"/>
      <c r="K35" s="146"/>
    </row>
    <row r="36" spans="1:12" x14ac:dyDescent="0.45">
      <c r="A36" s="1"/>
      <c r="B36" s="43"/>
      <c r="C36" s="43"/>
      <c r="D36" s="43"/>
      <c r="E36" s="43"/>
      <c r="F36" s="43"/>
      <c r="G36" s="43"/>
      <c r="H36" s="43"/>
      <c r="I36" s="43"/>
      <c r="J36" s="43"/>
      <c r="K36" s="1"/>
    </row>
    <row r="37" spans="1:12" x14ac:dyDescent="0.45">
      <c r="A37" s="1"/>
      <c r="B37" s="43"/>
      <c r="C37" s="43"/>
      <c r="D37" s="43"/>
      <c r="E37" s="43"/>
      <c r="F37" s="43"/>
      <c r="G37" s="43"/>
      <c r="H37" s="43"/>
      <c r="I37" s="43"/>
      <c r="J37" s="43"/>
      <c r="K37" s="1"/>
    </row>
    <row r="38" spans="1:12" x14ac:dyDescent="0.45">
      <c r="A38" s="1"/>
      <c r="B38" s="43"/>
      <c r="C38" s="43"/>
      <c r="D38" s="43"/>
      <c r="E38" s="43"/>
      <c r="F38" s="43"/>
      <c r="G38" s="43"/>
      <c r="H38" s="43"/>
      <c r="I38" s="43"/>
      <c r="J38" s="43"/>
      <c r="K38" s="1"/>
    </row>
    <row r="39" spans="1:12" x14ac:dyDescent="0.45">
      <c r="A39" s="1"/>
      <c r="B39" s="43"/>
      <c r="C39" s="43"/>
      <c r="D39" s="43"/>
      <c r="E39" s="43"/>
      <c r="F39" s="43"/>
      <c r="G39" s="43"/>
      <c r="H39" s="43"/>
      <c r="I39" s="43"/>
      <c r="J39" s="43"/>
      <c r="K39" s="1"/>
    </row>
    <row r="40" spans="1:12" x14ac:dyDescent="0.45">
      <c r="A40" s="1"/>
      <c r="B40" s="43"/>
      <c r="C40" s="43"/>
      <c r="D40" s="43"/>
      <c r="E40" s="43"/>
      <c r="F40" s="43"/>
      <c r="G40" s="43"/>
      <c r="H40" s="43"/>
      <c r="I40" s="43"/>
      <c r="J40" s="43"/>
      <c r="K40" s="1"/>
    </row>
    <row r="41" spans="1:12" x14ac:dyDescent="0.45">
      <c r="A41" s="1"/>
      <c r="B41" s="43"/>
      <c r="C41" s="43"/>
      <c r="D41" s="43"/>
      <c r="E41" s="43"/>
      <c r="F41" s="43"/>
      <c r="G41" s="43"/>
      <c r="H41" s="43"/>
      <c r="I41" s="43"/>
      <c r="J41" s="43"/>
      <c r="K41" s="1"/>
    </row>
    <row r="42" spans="1:12" x14ac:dyDescent="0.45">
      <c r="A42" s="1"/>
      <c r="B42" s="43"/>
      <c r="C42" s="43"/>
      <c r="D42" s="43"/>
      <c r="E42" s="43"/>
      <c r="F42" s="43"/>
      <c r="G42" s="43"/>
      <c r="H42" s="43"/>
      <c r="I42" s="43"/>
      <c r="J42" s="43"/>
      <c r="K42" s="1"/>
    </row>
    <row r="43" spans="1:12" x14ac:dyDescent="0.45">
      <c r="A43" s="1"/>
      <c r="B43" s="43"/>
      <c r="C43" s="43"/>
      <c r="D43" s="43"/>
      <c r="E43" s="43"/>
      <c r="F43" s="43"/>
      <c r="G43" s="43"/>
      <c r="H43" s="43"/>
      <c r="I43" s="43"/>
      <c r="J43" s="43"/>
      <c r="K43" s="1"/>
    </row>
    <row r="44" spans="1:12" x14ac:dyDescent="0.45">
      <c r="A44" s="1"/>
      <c r="B44" s="135" t="s">
        <v>30</v>
      </c>
      <c r="C44" s="135" t="s">
        <v>31</v>
      </c>
      <c r="D44" s="44" t="s">
        <v>32</v>
      </c>
      <c r="E44" s="44"/>
      <c r="F44" s="44"/>
      <c r="G44" s="44"/>
      <c r="H44" s="25"/>
      <c r="I44" s="43"/>
      <c r="J44" s="43"/>
      <c r="K44" s="1"/>
    </row>
    <row r="45" spans="1:12" x14ac:dyDescent="0.45">
      <c r="A45" s="1"/>
      <c r="B45" s="135"/>
      <c r="C45" s="135" t="s">
        <v>33</v>
      </c>
      <c r="D45" s="44" t="s">
        <v>34</v>
      </c>
      <c r="E45" s="44"/>
      <c r="F45" s="44"/>
      <c r="G45" s="44"/>
      <c r="H45" s="25"/>
      <c r="I45" s="43"/>
      <c r="J45" s="43"/>
      <c r="K45" s="1"/>
    </row>
    <row r="46" spans="1:12" x14ac:dyDescent="0.45">
      <c r="A46" s="1"/>
      <c r="B46" s="135"/>
      <c r="C46" s="135" t="s">
        <v>35</v>
      </c>
      <c r="D46" s="44" t="s">
        <v>36</v>
      </c>
      <c r="E46" s="44"/>
      <c r="F46" s="44"/>
      <c r="G46" s="44"/>
      <c r="H46" s="135" t="s">
        <v>37</v>
      </c>
      <c r="I46" s="43"/>
      <c r="J46" s="43"/>
      <c r="K46" s="1"/>
    </row>
    <row r="47" spans="1:12" x14ac:dyDescent="0.45">
      <c r="A47" s="1"/>
      <c r="B47" s="135"/>
      <c r="C47" s="135"/>
      <c r="D47" s="135"/>
      <c r="E47" s="135"/>
      <c r="F47" s="135"/>
      <c r="G47" s="135"/>
      <c r="H47" s="135"/>
      <c r="I47" s="43"/>
      <c r="J47" s="43"/>
      <c r="K47" s="1"/>
    </row>
    <row r="48" spans="1:12" x14ac:dyDescent="0.45">
      <c r="A48" s="1"/>
      <c r="B48" s="135"/>
      <c r="C48" s="135"/>
      <c r="D48" s="135"/>
      <c r="E48" s="135"/>
      <c r="F48" s="135"/>
      <c r="G48" s="135"/>
      <c r="H48" s="135"/>
      <c r="I48" s="134"/>
      <c r="J48" s="134"/>
      <c r="K48" s="1"/>
    </row>
    <row r="49" spans="1:12" x14ac:dyDescent="0.45">
      <c r="A49" s="1"/>
      <c r="B49" s="135" t="s">
        <v>38</v>
      </c>
      <c r="C49" s="135" t="s">
        <v>31</v>
      </c>
      <c r="D49" s="44" t="s">
        <v>39</v>
      </c>
      <c r="E49" s="44"/>
      <c r="F49" s="44"/>
      <c r="G49" s="44"/>
      <c r="H49" s="6"/>
      <c r="I49" s="134"/>
      <c r="J49" s="134"/>
      <c r="K49" s="1"/>
      <c r="L49" s="114" t="s">
        <v>19</v>
      </c>
    </row>
    <row r="50" spans="1:12" x14ac:dyDescent="0.45">
      <c r="A50" s="1"/>
      <c r="B50" s="135"/>
      <c r="C50" s="135" t="s">
        <v>33</v>
      </c>
      <c r="D50" s="44" t="s">
        <v>15</v>
      </c>
      <c r="E50" s="44"/>
      <c r="F50" s="44"/>
      <c r="G50" s="44"/>
      <c r="H50" s="6"/>
      <c r="I50" s="43"/>
      <c r="J50" s="43"/>
      <c r="K50" s="1"/>
      <c r="L50" s="114" t="s">
        <v>19</v>
      </c>
    </row>
    <row r="51" spans="1:12" x14ac:dyDescent="0.45">
      <c r="A51" s="1"/>
      <c r="B51" s="135"/>
      <c r="C51" s="135" t="s">
        <v>35</v>
      </c>
      <c r="D51" s="44" t="s">
        <v>14</v>
      </c>
      <c r="E51" s="44"/>
      <c r="F51" s="44"/>
      <c r="G51" s="44"/>
      <c r="H51" s="135" t="s">
        <v>37</v>
      </c>
      <c r="I51" s="43"/>
      <c r="J51" s="43"/>
      <c r="K51" s="1"/>
      <c r="L51" s="114" t="s">
        <v>19</v>
      </c>
    </row>
    <row r="52" spans="1:12" x14ac:dyDescent="0.45">
      <c r="A52" s="1"/>
      <c r="B52" s="43"/>
      <c r="C52" s="43"/>
      <c r="D52" s="43"/>
      <c r="E52" s="43"/>
      <c r="F52" s="43"/>
      <c r="G52" s="43"/>
      <c r="H52" s="43"/>
      <c r="I52" s="43"/>
      <c r="J52" s="43"/>
      <c r="K52" s="1"/>
    </row>
    <row r="53" spans="1:12" x14ac:dyDescent="0.45">
      <c r="A53" s="1"/>
      <c r="B53" s="43"/>
      <c r="C53" s="43"/>
      <c r="D53" s="43"/>
      <c r="E53" s="43"/>
      <c r="F53" s="43"/>
      <c r="G53" s="43"/>
      <c r="H53" s="43"/>
      <c r="I53" s="43"/>
      <c r="J53" s="43"/>
      <c r="K53" s="1"/>
    </row>
    <row r="54" spans="1:12" x14ac:dyDescent="0.45">
      <c r="A54" s="1"/>
      <c r="B54" s="43"/>
      <c r="C54" s="43"/>
      <c r="D54" s="43"/>
      <c r="E54" s="43"/>
      <c r="F54" s="43"/>
      <c r="G54" s="43"/>
      <c r="H54" s="43"/>
      <c r="I54" s="43"/>
      <c r="J54" s="43"/>
      <c r="K54" s="1"/>
    </row>
    <row r="55" spans="1:12" x14ac:dyDescent="0.45">
      <c r="A55" s="1"/>
      <c r="B55" s="43"/>
      <c r="C55" s="43"/>
      <c r="D55" s="43"/>
      <c r="E55" s="43"/>
      <c r="F55" s="43"/>
      <c r="G55" s="43"/>
      <c r="H55" s="43"/>
      <c r="I55" s="43"/>
      <c r="J55" s="43"/>
      <c r="K55" s="1"/>
    </row>
    <row r="56" spans="1:12" x14ac:dyDescent="0.45">
      <c r="A56" s="1"/>
      <c r="B56" s="43"/>
      <c r="C56" s="43"/>
      <c r="D56" s="43"/>
      <c r="E56" s="43"/>
      <c r="F56" s="43"/>
      <c r="G56" s="43"/>
      <c r="H56" s="43"/>
      <c r="I56" s="43"/>
      <c r="J56" s="43"/>
      <c r="K56" s="1"/>
    </row>
    <row r="57" spans="1:12" x14ac:dyDescent="0.45">
      <c r="A57" s="1"/>
      <c r="B57" s="43"/>
      <c r="C57" s="43"/>
      <c r="D57" s="43"/>
      <c r="E57" s="43"/>
      <c r="F57" s="43"/>
      <c r="G57" s="43"/>
      <c r="H57" s="43"/>
      <c r="I57" s="43"/>
      <c r="J57" s="43"/>
      <c r="K57" s="1"/>
    </row>
    <row r="58" spans="1:12" x14ac:dyDescent="0.45">
      <c r="A58" s="1"/>
      <c r="B58" s="43"/>
      <c r="C58" s="43"/>
      <c r="D58" s="43"/>
      <c r="E58" s="43"/>
      <c r="F58" s="43"/>
      <c r="G58" s="43"/>
      <c r="H58" s="43"/>
      <c r="I58" s="43"/>
      <c r="J58" s="43"/>
      <c r="K58" s="1"/>
    </row>
    <row r="59" spans="1:12" x14ac:dyDescent="0.45">
      <c r="A59" s="1"/>
      <c r="B59" s="43"/>
      <c r="C59" s="43"/>
      <c r="D59" s="43"/>
      <c r="E59" s="43"/>
      <c r="F59" s="43"/>
      <c r="G59" s="43"/>
      <c r="H59" s="43"/>
      <c r="I59" s="43"/>
      <c r="J59" s="43"/>
      <c r="K59" s="1"/>
    </row>
    <row r="60" spans="1:12" x14ac:dyDescent="0.45">
      <c r="A60" s="1"/>
      <c r="B60" s="43"/>
      <c r="C60" s="43"/>
      <c r="D60" s="43"/>
      <c r="E60" s="43"/>
      <c r="F60" s="43"/>
      <c r="G60" s="43"/>
      <c r="H60" s="43"/>
      <c r="I60" s="43"/>
      <c r="J60" s="43"/>
      <c r="K60" s="1"/>
    </row>
    <row r="61" spans="1:12" x14ac:dyDescent="0.45">
      <c r="A61" s="1"/>
      <c r="B61" s="43"/>
      <c r="C61" s="43"/>
      <c r="D61" s="43"/>
      <c r="E61" s="43"/>
      <c r="F61" s="43"/>
      <c r="G61" s="43"/>
      <c r="H61" s="43"/>
      <c r="I61" s="43"/>
      <c r="J61" s="43"/>
      <c r="K61" s="1"/>
    </row>
    <row r="62" spans="1:12" x14ac:dyDescent="0.45">
      <c r="A62" s="1"/>
      <c r="B62" s="43"/>
      <c r="C62" s="43"/>
      <c r="D62" s="43"/>
      <c r="E62" s="43"/>
      <c r="F62" s="43"/>
      <c r="G62" s="43"/>
      <c r="H62" s="43"/>
      <c r="I62" s="43"/>
      <c r="J62" s="43"/>
      <c r="K62" s="1"/>
    </row>
    <row r="63" spans="1:12" x14ac:dyDescent="0.45">
      <c r="A63" s="1"/>
      <c r="B63" s="43"/>
      <c r="C63" s="43"/>
      <c r="D63" s="43"/>
      <c r="E63" s="43"/>
      <c r="F63" s="43"/>
      <c r="G63" s="43"/>
      <c r="H63" s="43"/>
      <c r="I63" s="43"/>
      <c r="J63" s="43"/>
      <c r="K63" s="1"/>
    </row>
    <row r="64" spans="1:12" x14ac:dyDescent="0.45">
      <c r="A64" s="1"/>
      <c r="B64" s="28" t="s">
        <v>40</v>
      </c>
      <c r="C64" s="28"/>
      <c r="D64" s="28"/>
      <c r="E64" s="28"/>
      <c r="F64" s="28"/>
      <c r="G64" s="28"/>
      <c r="H64" s="28"/>
      <c r="I64" s="28"/>
      <c r="J64" s="28"/>
      <c r="K64" s="1"/>
    </row>
    <row r="65" spans="1:11" x14ac:dyDescent="0.45">
      <c r="A65" s="1"/>
      <c r="B65" s="22" t="s">
        <v>41</v>
      </c>
      <c r="C65" s="32"/>
      <c r="D65" s="32"/>
      <c r="E65" s="32"/>
      <c r="F65" s="32"/>
      <c r="G65" s="32"/>
      <c r="H65" s="32"/>
      <c r="I65" s="32"/>
      <c r="J65" s="32"/>
      <c r="K65" s="1"/>
    </row>
    <row r="66" spans="1:11" x14ac:dyDescent="0.45">
      <c r="A66" s="1"/>
      <c r="B66" s="34" t="s">
        <v>42</v>
      </c>
      <c r="C66" s="32"/>
      <c r="D66" s="32"/>
      <c r="E66" s="32"/>
      <c r="F66" s="32"/>
      <c r="G66" s="32"/>
      <c r="H66" s="32"/>
      <c r="I66" s="32"/>
      <c r="J66" s="32"/>
      <c r="K66" s="1"/>
    </row>
    <row r="67" spans="1:11" x14ac:dyDescent="0.45">
      <c r="A67" s="1"/>
      <c r="B67" s="32"/>
      <c r="C67" s="32"/>
      <c r="D67" s="32"/>
      <c r="E67" s="32"/>
      <c r="F67" s="32"/>
      <c r="G67" s="32"/>
      <c r="H67" s="32"/>
      <c r="I67" s="32"/>
      <c r="J67" s="32"/>
      <c r="K67" s="1"/>
    </row>
    <row r="68" spans="1:11" x14ac:dyDescent="0.45">
      <c r="A68" s="1"/>
      <c r="B68" s="28" t="s">
        <v>43</v>
      </c>
      <c r="C68" s="28"/>
      <c r="D68" s="28"/>
      <c r="E68" s="28"/>
      <c r="F68" s="28"/>
      <c r="G68" s="28"/>
      <c r="H68" s="28"/>
      <c r="I68" s="28"/>
      <c r="J68" s="28"/>
      <c r="K68" s="1"/>
    </row>
    <row r="69" spans="1:11" x14ac:dyDescent="0.45">
      <c r="A69" s="1"/>
      <c r="B69" s="34" t="s">
        <v>44</v>
      </c>
      <c r="C69" s="32"/>
      <c r="D69" s="32"/>
      <c r="E69" s="32"/>
      <c r="F69" s="32"/>
      <c r="G69" s="32"/>
      <c r="H69" s="32"/>
      <c r="I69" s="32"/>
      <c r="J69" s="32"/>
      <c r="K69" s="1"/>
    </row>
    <row r="70" spans="1:11" x14ac:dyDescent="0.45">
      <c r="A70" s="1"/>
      <c r="B70" s="34" t="s">
        <v>45</v>
      </c>
      <c r="C70" s="47"/>
      <c r="D70" s="47"/>
      <c r="E70" s="47"/>
      <c r="F70" s="47"/>
      <c r="G70" s="47"/>
      <c r="H70" s="47"/>
      <c r="I70" s="47"/>
      <c r="J70" s="47"/>
      <c r="K70" s="1"/>
    </row>
    <row r="71" spans="1:11" x14ac:dyDescent="0.45">
      <c r="A71" s="1"/>
      <c r="B71" s="34" t="s">
        <v>46</v>
      </c>
      <c r="C71" s="32"/>
      <c r="D71" s="32"/>
      <c r="E71" s="32"/>
      <c r="F71" s="32"/>
      <c r="G71" s="32"/>
      <c r="H71" s="32"/>
      <c r="I71" s="32"/>
      <c r="J71" s="32"/>
      <c r="K71" s="1"/>
    </row>
    <row r="72" spans="1:11" x14ac:dyDescent="0.45">
      <c r="A72" s="1"/>
      <c r="B72" s="34" t="s">
        <v>47</v>
      </c>
      <c r="C72" s="47"/>
      <c r="D72" s="47"/>
      <c r="E72" s="47"/>
      <c r="F72" s="47"/>
      <c r="G72" s="47"/>
      <c r="H72" s="47"/>
      <c r="I72" s="47"/>
      <c r="J72" s="47"/>
      <c r="K72" s="1"/>
    </row>
    <row r="73" spans="1:11" x14ac:dyDescent="0.45">
      <c r="A73" s="1"/>
      <c r="B73" s="23"/>
      <c r="C73" s="47"/>
      <c r="D73" s="47"/>
      <c r="E73" s="47"/>
      <c r="F73" s="47"/>
      <c r="G73" s="47"/>
      <c r="H73" s="47"/>
      <c r="I73" s="47"/>
      <c r="J73" s="47"/>
      <c r="K73" s="1"/>
    </row>
    <row r="74" spans="1:11" x14ac:dyDescent="0.45">
      <c r="A74" s="1"/>
      <c r="B74" s="28" t="s">
        <v>48</v>
      </c>
      <c r="C74" s="28"/>
      <c r="D74" s="28"/>
      <c r="E74" s="28"/>
      <c r="F74" s="28"/>
      <c r="G74" s="28"/>
      <c r="H74" s="28"/>
      <c r="I74" s="28"/>
      <c r="J74" s="28"/>
      <c r="K74" s="1"/>
    </row>
    <row r="75" spans="1:11" x14ac:dyDescent="0.45">
      <c r="A75" s="1"/>
      <c r="B75" s="34" t="s">
        <v>49</v>
      </c>
      <c r="C75" s="32"/>
      <c r="D75" s="32"/>
      <c r="E75" s="32"/>
      <c r="F75" s="32"/>
      <c r="G75" s="32"/>
      <c r="H75" s="32"/>
      <c r="I75" s="32"/>
      <c r="J75" s="32"/>
      <c r="K75" s="1"/>
    </row>
    <row r="76" spans="1:11" x14ac:dyDescent="0.45">
      <c r="A76" s="1"/>
      <c r="B76" s="47" t="s">
        <v>50</v>
      </c>
      <c r="C76" s="32"/>
      <c r="D76" s="32"/>
      <c r="E76" s="32"/>
      <c r="F76" s="32"/>
      <c r="G76" s="32"/>
      <c r="H76" s="32"/>
      <c r="I76" s="32"/>
      <c r="J76" s="32"/>
      <c r="K76" s="1"/>
    </row>
    <row r="77" spans="1:11" x14ac:dyDescent="0.45">
      <c r="A77" s="1"/>
      <c r="B77" s="47" t="s">
        <v>51</v>
      </c>
      <c r="C77" s="32"/>
      <c r="D77" s="32"/>
      <c r="E77" s="32"/>
      <c r="F77" s="32"/>
      <c r="G77" s="32"/>
      <c r="H77" s="32"/>
      <c r="I77" s="32"/>
      <c r="J77" s="32"/>
      <c r="K77" s="1"/>
    </row>
    <row r="78" spans="1:11" x14ac:dyDescent="0.45">
      <c r="A78" s="1"/>
      <c r="B78" s="47" t="s">
        <v>52</v>
      </c>
      <c r="C78" s="32"/>
      <c r="D78" s="32"/>
      <c r="E78" s="32"/>
      <c r="F78" s="32"/>
      <c r="G78" s="32"/>
      <c r="H78" s="32"/>
      <c r="I78" s="32"/>
      <c r="J78" s="32"/>
      <c r="K78" s="1"/>
    </row>
    <row r="79" spans="1:11" x14ac:dyDescent="0.45">
      <c r="A79" s="1"/>
      <c r="B79" s="45" t="s">
        <v>53</v>
      </c>
      <c r="C79" s="32"/>
      <c r="D79" s="32"/>
      <c r="E79" s="32"/>
      <c r="F79" s="32"/>
      <c r="G79" s="32"/>
      <c r="H79" s="32"/>
      <c r="I79" s="32"/>
      <c r="J79" s="32"/>
      <c r="K79" s="1"/>
    </row>
    <row r="80" spans="1:11" x14ac:dyDescent="0.45">
      <c r="A80" s="1"/>
      <c r="B80" s="45" t="s">
        <v>54</v>
      </c>
      <c r="C80" s="32"/>
      <c r="D80" s="32"/>
      <c r="E80" s="32"/>
      <c r="F80" s="32"/>
      <c r="G80" s="32"/>
      <c r="H80" s="32"/>
      <c r="I80" s="32"/>
      <c r="J80" s="32"/>
      <c r="K80" s="1"/>
    </row>
    <row r="81" spans="1:11" x14ac:dyDescent="0.45">
      <c r="A81" s="1"/>
      <c r="B81" s="34" t="s">
        <v>55</v>
      </c>
      <c r="C81" s="32"/>
      <c r="D81" s="32"/>
      <c r="E81" s="32"/>
      <c r="F81" s="32"/>
      <c r="G81" s="32"/>
      <c r="H81" s="32"/>
      <c r="I81" s="32"/>
      <c r="J81" s="32"/>
      <c r="K81" s="1"/>
    </row>
    <row r="82" spans="1:11" x14ac:dyDescent="0.45">
      <c r="A82" s="1"/>
      <c r="B82" s="34" t="s">
        <v>56</v>
      </c>
      <c r="C82" s="32"/>
      <c r="D82" s="32"/>
      <c r="E82" s="32"/>
      <c r="F82" s="32"/>
      <c r="G82" s="32"/>
      <c r="H82" s="32"/>
      <c r="I82" s="32"/>
      <c r="J82" s="32"/>
      <c r="K82" s="1"/>
    </row>
    <row r="83" spans="1:11" x14ac:dyDescent="0.45">
      <c r="A83" s="1"/>
      <c r="B83" s="23"/>
      <c r="C83" s="23"/>
      <c r="D83" s="47"/>
      <c r="E83" s="47"/>
      <c r="F83" s="47"/>
      <c r="G83" s="47"/>
      <c r="H83" s="47"/>
      <c r="I83" s="47"/>
      <c r="J83" s="47"/>
      <c r="K83" s="1"/>
    </row>
    <row r="84" spans="1:11" x14ac:dyDescent="0.45">
      <c r="A84" s="1"/>
      <c r="B84" s="28" t="s">
        <v>57</v>
      </c>
      <c r="C84" s="28"/>
      <c r="D84" s="28"/>
      <c r="E84" s="28"/>
      <c r="F84" s="28"/>
      <c r="G84" s="28"/>
      <c r="H84" s="28"/>
      <c r="I84" s="28"/>
      <c r="J84" s="28"/>
      <c r="K84" s="1"/>
    </row>
    <row r="85" spans="1:11" x14ac:dyDescent="0.45">
      <c r="A85" s="1"/>
      <c r="B85" s="34" t="s">
        <v>58</v>
      </c>
      <c r="C85" s="47"/>
      <c r="D85" s="47"/>
      <c r="E85" s="47"/>
      <c r="F85" s="47"/>
      <c r="G85" s="47"/>
      <c r="H85" s="47"/>
      <c r="I85" s="47"/>
      <c r="J85" s="47"/>
      <c r="K85" s="1"/>
    </row>
    <row r="86" spans="1:11" x14ac:dyDescent="0.45">
      <c r="A86" s="1"/>
      <c r="B86" s="34" t="s">
        <v>59</v>
      </c>
      <c r="C86" s="47"/>
      <c r="D86" s="47"/>
      <c r="E86" s="47"/>
      <c r="F86" s="47"/>
      <c r="G86" s="47"/>
      <c r="H86" s="47"/>
      <c r="I86" s="47"/>
      <c r="J86" s="47"/>
      <c r="K86" s="1"/>
    </row>
    <row r="87" spans="1:11" x14ac:dyDescent="0.45">
      <c r="A87" s="1"/>
      <c r="B87" s="34" t="s">
        <v>60</v>
      </c>
      <c r="C87" s="47"/>
      <c r="D87" s="47"/>
      <c r="E87" s="47"/>
      <c r="F87" s="47"/>
      <c r="G87" s="47"/>
      <c r="H87" s="47"/>
      <c r="I87" s="47"/>
      <c r="J87" s="47"/>
      <c r="K87" s="1"/>
    </row>
    <row r="88" spans="1:11" x14ac:dyDescent="0.45">
      <c r="A88" s="1"/>
      <c r="B88" s="34" t="s">
        <v>61</v>
      </c>
      <c r="C88" s="47"/>
      <c r="D88" s="47"/>
      <c r="E88" s="47"/>
      <c r="F88" s="47"/>
      <c r="G88" s="47"/>
      <c r="H88" s="47"/>
      <c r="I88" s="47"/>
      <c r="J88" s="47"/>
      <c r="K88" s="1"/>
    </row>
    <row r="89" spans="1:11" x14ac:dyDescent="0.45">
      <c r="A89" s="1"/>
      <c r="B89" s="34" t="s">
        <v>62</v>
      </c>
      <c r="C89" s="47"/>
      <c r="D89" s="47"/>
      <c r="E89" s="47"/>
      <c r="F89" s="47"/>
      <c r="G89" s="47"/>
      <c r="H89" s="47"/>
      <c r="I89" s="47"/>
      <c r="J89" s="47"/>
      <c r="K89" s="1"/>
    </row>
    <row r="90" spans="1:11" x14ac:dyDescent="0.45">
      <c r="A90" s="1"/>
      <c r="B90" s="34" t="s">
        <v>63</v>
      </c>
      <c r="C90" s="47"/>
      <c r="D90" s="47"/>
      <c r="E90" s="47"/>
      <c r="F90" s="47"/>
      <c r="G90" s="47"/>
      <c r="H90" s="47"/>
      <c r="I90" s="47"/>
      <c r="J90" s="47"/>
      <c r="K90" s="1"/>
    </row>
    <row r="91" spans="1:11" x14ac:dyDescent="0.45">
      <c r="A91" s="1"/>
      <c r="B91" s="34" t="s">
        <v>64</v>
      </c>
      <c r="C91" s="47"/>
      <c r="D91" s="47"/>
      <c r="E91" s="47"/>
      <c r="F91" s="47"/>
      <c r="G91" s="47"/>
      <c r="H91" s="47"/>
      <c r="I91" s="47"/>
      <c r="J91" s="47"/>
      <c r="K91" s="1"/>
    </row>
    <row r="92" spans="1:11" x14ac:dyDescent="0.45">
      <c r="A92" s="1"/>
      <c r="B92" s="34" t="s">
        <v>65</v>
      </c>
      <c r="C92" s="47"/>
      <c r="D92" s="47"/>
      <c r="E92" s="47"/>
      <c r="F92" s="47"/>
      <c r="G92" s="47"/>
      <c r="H92" s="47"/>
      <c r="I92" s="47"/>
      <c r="J92" s="47"/>
      <c r="K92" s="1"/>
    </row>
    <row r="93" spans="1:11" x14ac:dyDescent="0.45">
      <c r="A93" s="1"/>
      <c r="B93" s="34"/>
      <c r="C93" s="47"/>
      <c r="D93" s="47"/>
      <c r="E93" s="47"/>
      <c r="F93" s="47"/>
      <c r="G93" s="47"/>
      <c r="H93" s="47"/>
      <c r="I93" s="47"/>
      <c r="J93" s="47"/>
      <c r="K93" s="1"/>
    </row>
    <row r="94" spans="1:11" x14ac:dyDescent="0.45">
      <c r="A94" s="1"/>
      <c r="B94" s="28" t="s">
        <v>66</v>
      </c>
      <c r="C94" s="47"/>
      <c r="D94" s="47"/>
      <c r="E94" s="47"/>
      <c r="F94" s="47"/>
      <c r="G94" s="47"/>
      <c r="H94" s="47"/>
      <c r="I94" s="47"/>
      <c r="J94" s="47"/>
      <c r="K94" s="1"/>
    </row>
    <row r="95" spans="1:11" x14ac:dyDescent="0.45">
      <c r="A95" s="1"/>
      <c r="B95" s="34" t="s">
        <v>67</v>
      </c>
      <c r="C95" s="47"/>
      <c r="D95" s="47"/>
      <c r="E95" s="47"/>
      <c r="F95" s="47"/>
      <c r="G95" s="47"/>
      <c r="H95" s="47"/>
      <c r="I95" s="47"/>
      <c r="J95" s="47"/>
      <c r="K95" s="1"/>
    </row>
    <row r="96" spans="1:11" x14ac:dyDescent="0.45">
      <c r="A96" s="1"/>
      <c r="B96" s="34" t="s">
        <v>68</v>
      </c>
      <c r="C96" s="47"/>
      <c r="D96" s="47"/>
      <c r="E96" s="47"/>
      <c r="F96" s="47"/>
      <c r="G96" s="47"/>
      <c r="H96" s="47"/>
      <c r="I96" s="47"/>
      <c r="J96" s="47"/>
      <c r="K96" s="1"/>
    </row>
    <row r="97" spans="1:12" x14ac:dyDescent="0.45">
      <c r="A97" s="1"/>
      <c r="B97" s="47"/>
      <c r="C97" s="47"/>
      <c r="D97" s="47"/>
      <c r="E97" s="47"/>
      <c r="F97" s="47"/>
      <c r="G97" s="47"/>
      <c r="H97" s="47"/>
      <c r="I97" s="47"/>
      <c r="J97" s="47"/>
      <c r="K97" s="1"/>
    </row>
    <row r="98" spans="1:12" x14ac:dyDescent="0.45">
      <c r="A98" s="5"/>
      <c r="B98" s="28" t="s">
        <v>69</v>
      </c>
      <c r="C98" s="18"/>
      <c r="D98" s="18"/>
      <c r="E98" s="18"/>
      <c r="F98" s="18"/>
      <c r="G98" s="18"/>
      <c r="H98" s="18"/>
      <c r="I98" s="18"/>
      <c r="J98" s="18"/>
      <c r="K98" s="5"/>
    </row>
    <row r="99" spans="1:12" x14ac:dyDescent="0.45">
      <c r="A99" s="1"/>
      <c r="B99" s="34" t="s">
        <v>70</v>
      </c>
      <c r="C99" s="47"/>
      <c r="D99" s="47"/>
      <c r="E99" s="47"/>
      <c r="F99" s="47"/>
      <c r="G99" s="47"/>
      <c r="H99" s="47"/>
      <c r="I99" s="47"/>
      <c r="J99" s="47"/>
      <c r="K99" s="1"/>
    </row>
    <row r="100" spans="1:12" x14ac:dyDescent="0.45">
      <c r="A100" s="1"/>
      <c r="B100" s="34" t="s">
        <v>71</v>
      </c>
      <c r="C100" s="47"/>
      <c r="D100" s="47"/>
      <c r="E100" s="47"/>
      <c r="F100" s="47"/>
      <c r="G100" s="47"/>
      <c r="H100" s="47"/>
      <c r="I100" s="47"/>
      <c r="J100" s="47"/>
      <c r="K100" s="1"/>
    </row>
    <row r="101" spans="1:12" x14ac:dyDescent="0.45">
      <c r="A101" s="1"/>
      <c r="B101" s="34" t="s">
        <v>72</v>
      </c>
      <c r="C101" s="47"/>
      <c r="D101" s="47"/>
      <c r="E101" s="47"/>
      <c r="F101" s="47"/>
      <c r="G101" s="47"/>
      <c r="H101" s="47"/>
      <c r="I101" s="47"/>
      <c r="J101" s="47"/>
      <c r="K101" s="1"/>
    </row>
    <row r="102" spans="1:12" s="116" customFormat="1" x14ac:dyDescent="0.45">
      <c r="A102" s="15"/>
      <c r="B102" s="34" t="s">
        <v>73</v>
      </c>
      <c r="C102" s="47"/>
      <c r="D102" s="47"/>
      <c r="E102" s="47"/>
      <c r="F102" s="47"/>
      <c r="G102" s="47"/>
      <c r="H102" s="47"/>
      <c r="I102" s="47"/>
      <c r="J102" s="47"/>
      <c r="K102" s="15"/>
      <c r="L102" s="59"/>
    </row>
    <row r="103" spans="1:12" x14ac:dyDescent="0.45">
      <c r="B103" s="34" t="s">
        <v>74</v>
      </c>
      <c r="C103" s="47"/>
      <c r="D103" s="47"/>
      <c r="E103" s="47"/>
      <c r="F103" s="47"/>
      <c r="G103" s="47"/>
      <c r="H103" s="47"/>
      <c r="I103" s="47"/>
      <c r="J103" s="47"/>
      <c r="L103" s="59"/>
    </row>
    <row r="104" spans="1:12" x14ac:dyDescent="0.45">
      <c r="B104" s="34" t="s">
        <v>75</v>
      </c>
      <c r="C104" s="47"/>
      <c r="D104" s="47"/>
      <c r="E104" s="47"/>
      <c r="F104" s="47"/>
      <c r="G104" s="47"/>
      <c r="H104" s="47"/>
      <c r="I104" s="47"/>
      <c r="J104" s="47"/>
      <c r="L104" s="60"/>
    </row>
    <row r="105" spans="1:12" x14ac:dyDescent="0.45">
      <c r="B105" s="34" t="s">
        <v>76</v>
      </c>
      <c r="C105" s="47"/>
      <c r="D105" s="47"/>
      <c r="E105" s="47"/>
      <c r="F105" s="47"/>
      <c r="G105" s="47"/>
      <c r="H105" s="47"/>
      <c r="I105" s="47"/>
      <c r="J105" s="47"/>
      <c r="L105" s="60"/>
    </row>
    <row r="106" spans="1:12" x14ac:dyDescent="0.45">
      <c r="B106" s="32" t="s">
        <v>77</v>
      </c>
      <c r="C106" s="47"/>
      <c r="D106" s="47"/>
      <c r="E106" s="47"/>
      <c r="F106" s="47"/>
      <c r="G106" s="47"/>
      <c r="H106" s="47"/>
      <c r="I106" s="47"/>
      <c r="J106" s="47"/>
      <c r="L106" s="60"/>
    </row>
    <row r="107" spans="1:12" s="116" customFormat="1" x14ac:dyDescent="0.45">
      <c r="A107" s="15"/>
      <c r="B107" s="32" t="s">
        <v>78</v>
      </c>
      <c r="C107" s="47"/>
      <c r="D107" s="47"/>
      <c r="E107" s="47"/>
      <c r="F107" s="47"/>
      <c r="G107" s="47"/>
      <c r="H107" s="47"/>
      <c r="I107" s="47"/>
      <c r="J107" s="47"/>
      <c r="K107" s="15"/>
      <c r="L107" s="60"/>
    </row>
    <row r="108" spans="1:12" s="116" customFormat="1" x14ac:dyDescent="0.45">
      <c r="A108" s="15"/>
      <c r="B108" s="32" t="s">
        <v>79</v>
      </c>
      <c r="C108" s="47"/>
      <c r="D108" s="47"/>
      <c r="E108" s="47"/>
      <c r="F108" s="47"/>
      <c r="G108" s="47"/>
      <c r="H108" s="47"/>
      <c r="I108" s="47"/>
      <c r="J108" s="47"/>
      <c r="K108" s="15"/>
      <c r="L108" s="60"/>
    </row>
    <row r="109" spans="1:12" x14ac:dyDescent="0.45">
      <c r="A109" s="1"/>
      <c r="B109" s="32"/>
      <c r="C109" s="47"/>
      <c r="D109" s="47"/>
      <c r="E109" s="47"/>
      <c r="F109" s="47"/>
      <c r="G109" s="47"/>
      <c r="H109" s="47"/>
      <c r="I109" s="47"/>
      <c r="J109" s="47"/>
      <c r="K109" s="1"/>
    </row>
    <row r="110" spans="1:12" x14ac:dyDescent="0.45">
      <c r="A110" s="5"/>
      <c r="B110" s="28" t="s">
        <v>80</v>
      </c>
      <c r="C110" s="18"/>
      <c r="D110" s="18"/>
      <c r="E110" s="18"/>
      <c r="F110" s="18"/>
      <c r="G110" s="18"/>
      <c r="H110" s="18"/>
      <c r="I110" s="18"/>
      <c r="J110" s="18"/>
      <c r="K110" s="5"/>
    </row>
    <row r="111" spans="1:12" x14ac:dyDescent="0.45">
      <c r="A111" s="1"/>
      <c r="B111" s="34" t="s">
        <v>81</v>
      </c>
      <c r="C111" s="47"/>
      <c r="D111" s="47"/>
      <c r="E111" s="47"/>
      <c r="F111" s="47"/>
      <c r="G111" s="47"/>
      <c r="H111" s="47"/>
      <c r="I111" s="47"/>
      <c r="J111" s="47"/>
      <c r="K111" s="1"/>
    </row>
    <row r="112" spans="1:12" x14ac:dyDescent="0.45">
      <c r="A112" s="1"/>
      <c r="B112" s="47" t="s">
        <v>82</v>
      </c>
      <c r="C112" s="47"/>
      <c r="D112" s="47"/>
      <c r="E112" s="47"/>
      <c r="F112" s="47"/>
      <c r="G112" s="47"/>
      <c r="H112" s="47"/>
      <c r="I112" s="47"/>
      <c r="J112" s="47"/>
      <c r="K112" s="1"/>
    </row>
    <row r="113" spans="1:11" x14ac:dyDescent="0.45">
      <c r="A113" s="1"/>
      <c r="B113" s="47" t="s">
        <v>83</v>
      </c>
      <c r="C113" s="47"/>
      <c r="D113" s="47"/>
      <c r="E113" s="47"/>
      <c r="F113" s="47"/>
      <c r="G113" s="47"/>
      <c r="H113" s="47"/>
      <c r="I113" s="47"/>
      <c r="J113" s="47"/>
      <c r="K113" s="1"/>
    </row>
    <row r="114" spans="1:11" x14ac:dyDescent="0.45">
      <c r="A114" s="1"/>
      <c r="B114" s="47" t="s">
        <v>84</v>
      </c>
      <c r="C114" s="47"/>
      <c r="D114" s="47"/>
      <c r="E114" s="47"/>
      <c r="F114" s="47"/>
      <c r="G114" s="47"/>
      <c r="H114" s="47"/>
      <c r="I114" s="47"/>
      <c r="J114" s="47"/>
      <c r="K114" s="1"/>
    </row>
    <row r="115" spans="1:11" x14ac:dyDescent="0.45">
      <c r="A115" s="1"/>
      <c r="B115" s="34" t="s">
        <v>85</v>
      </c>
      <c r="C115" s="47"/>
      <c r="D115" s="47"/>
      <c r="E115" s="47"/>
      <c r="F115" s="47"/>
      <c r="G115" s="47"/>
      <c r="H115" s="47"/>
      <c r="I115" s="47"/>
      <c r="J115" s="47"/>
      <c r="K115" s="1"/>
    </row>
    <row r="116" spans="1:11" x14ac:dyDescent="0.45">
      <c r="A116" s="1"/>
      <c r="B116" s="34" t="s">
        <v>86</v>
      </c>
      <c r="C116" s="47"/>
      <c r="D116" s="47"/>
      <c r="E116" s="47"/>
      <c r="F116" s="47"/>
      <c r="G116" s="47"/>
      <c r="H116" s="47"/>
      <c r="I116" s="47"/>
      <c r="J116" s="47"/>
      <c r="K116" s="1"/>
    </row>
    <row r="117" spans="1:11" x14ac:dyDescent="0.45">
      <c r="A117" s="1"/>
      <c r="B117" s="34" t="s">
        <v>87</v>
      </c>
      <c r="C117" s="47"/>
      <c r="D117" s="47"/>
      <c r="E117" s="47"/>
      <c r="F117" s="47"/>
      <c r="G117" s="47"/>
      <c r="H117" s="47"/>
      <c r="I117" s="47"/>
      <c r="J117" s="47"/>
      <c r="K117" s="1"/>
    </row>
    <row r="118" spans="1:11" x14ac:dyDescent="0.45">
      <c r="A118" s="1"/>
      <c r="B118" s="34" t="s">
        <v>88</v>
      </c>
      <c r="C118" s="47"/>
      <c r="D118" s="47"/>
      <c r="E118" s="47"/>
      <c r="F118" s="47"/>
      <c r="G118" s="47"/>
      <c r="H118" s="47"/>
      <c r="I118" s="47"/>
      <c r="J118" s="47"/>
      <c r="K118" s="1"/>
    </row>
    <row r="119" spans="1:11" x14ac:dyDescent="0.45">
      <c r="A119" s="1"/>
      <c r="B119" s="34" t="s">
        <v>89</v>
      </c>
      <c r="C119" s="47"/>
      <c r="D119" s="47"/>
      <c r="E119" s="47"/>
      <c r="F119" s="47"/>
      <c r="G119" s="47"/>
      <c r="H119" s="47"/>
      <c r="I119" s="47"/>
      <c r="J119" s="47"/>
      <c r="K119" s="1"/>
    </row>
    <row r="120" spans="1:11" x14ac:dyDescent="0.45">
      <c r="A120" s="1"/>
      <c r="B120" s="34" t="s">
        <v>90</v>
      </c>
      <c r="C120" s="47"/>
      <c r="D120" s="47"/>
      <c r="E120" s="47"/>
      <c r="F120" s="47"/>
      <c r="G120" s="47"/>
      <c r="H120" s="47"/>
      <c r="I120" s="47"/>
      <c r="J120" s="47"/>
      <c r="K120" s="1"/>
    </row>
    <row r="121" spans="1:11" x14ac:dyDescent="0.45">
      <c r="A121" s="1"/>
      <c r="B121" s="34" t="s">
        <v>91</v>
      </c>
      <c r="C121" s="47"/>
      <c r="D121" s="47"/>
      <c r="E121" s="47"/>
      <c r="F121" s="47"/>
      <c r="G121" s="47"/>
      <c r="H121" s="47"/>
      <c r="I121" s="47"/>
      <c r="J121" s="47"/>
      <c r="K121" s="1"/>
    </row>
    <row r="122" spans="1:11" x14ac:dyDescent="0.45">
      <c r="A122" s="1"/>
      <c r="B122" s="32"/>
      <c r="C122" s="47"/>
      <c r="D122" s="47"/>
      <c r="E122" s="47"/>
      <c r="F122" s="47"/>
      <c r="G122" s="47"/>
      <c r="H122" s="47"/>
      <c r="I122" s="47"/>
      <c r="J122" s="47"/>
      <c r="K122" s="1"/>
    </row>
    <row r="123" spans="1:11" x14ac:dyDescent="0.45">
      <c r="A123" s="5"/>
      <c r="B123" s="28" t="s">
        <v>92</v>
      </c>
      <c r="C123" s="18"/>
      <c r="D123" s="18"/>
      <c r="E123" s="18"/>
      <c r="F123" s="18"/>
      <c r="G123" s="18"/>
      <c r="H123" s="18"/>
      <c r="I123" s="18"/>
      <c r="J123" s="18"/>
      <c r="K123" s="5"/>
    </row>
    <row r="124" spans="1:11" x14ac:dyDescent="0.45">
      <c r="A124" s="1"/>
      <c r="B124" s="34" t="s">
        <v>93</v>
      </c>
      <c r="C124" s="47"/>
      <c r="D124" s="47"/>
      <c r="E124" s="47"/>
      <c r="F124" s="47"/>
      <c r="G124" s="47"/>
      <c r="H124" s="47"/>
      <c r="I124" s="47"/>
      <c r="J124" s="47"/>
      <c r="K124" s="1"/>
    </row>
    <row r="125" spans="1:11" x14ac:dyDescent="0.45">
      <c r="A125" s="1"/>
      <c r="B125" s="34" t="s">
        <v>94</v>
      </c>
      <c r="C125" s="47"/>
      <c r="D125" s="47"/>
      <c r="E125" s="47"/>
      <c r="F125" s="47"/>
      <c r="G125" s="47"/>
      <c r="H125" s="47"/>
      <c r="I125" s="47"/>
      <c r="J125" s="47"/>
      <c r="K125" s="1"/>
    </row>
    <row r="126" spans="1:11" x14ac:dyDescent="0.45">
      <c r="A126" s="1"/>
      <c r="B126" s="34" t="s">
        <v>95</v>
      </c>
      <c r="C126" s="47"/>
      <c r="D126" s="47"/>
      <c r="E126" s="47"/>
      <c r="F126" s="47"/>
      <c r="G126" s="47"/>
      <c r="H126" s="47"/>
      <c r="I126" s="47"/>
      <c r="J126" s="47"/>
      <c r="K126" s="1"/>
    </row>
    <row r="127" spans="1:11" x14ac:dyDescent="0.45">
      <c r="A127" s="1"/>
      <c r="B127" s="34" t="s">
        <v>96</v>
      </c>
      <c r="C127" s="47"/>
      <c r="D127" s="47"/>
      <c r="E127" s="47"/>
      <c r="F127" s="47"/>
      <c r="G127" s="47"/>
      <c r="H127" s="47"/>
      <c r="I127" s="47"/>
      <c r="J127" s="47"/>
      <c r="K127" s="1"/>
    </row>
    <row r="128" spans="1:11" x14ac:dyDescent="0.45">
      <c r="A128" s="1"/>
      <c r="B128" s="34" t="s">
        <v>97</v>
      </c>
      <c r="C128" s="47"/>
      <c r="D128" s="47"/>
      <c r="E128" s="47"/>
      <c r="F128" s="47"/>
      <c r="G128" s="47"/>
      <c r="H128" s="47"/>
      <c r="I128" s="47"/>
      <c r="J128" s="47"/>
      <c r="K128" s="1"/>
    </row>
    <row r="129" spans="1:11" x14ac:dyDescent="0.45">
      <c r="A129" s="1"/>
      <c r="B129" s="47" t="s">
        <v>98</v>
      </c>
      <c r="C129" s="47"/>
      <c r="D129" s="47"/>
      <c r="E129" s="47"/>
      <c r="F129" s="47"/>
      <c r="G129" s="47"/>
      <c r="H129" s="47"/>
      <c r="I129" s="47"/>
      <c r="J129" s="47"/>
      <c r="K129" s="1"/>
    </row>
    <row r="130" spans="1:11" x14ac:dyDescent="0.45">
      <c r="A130" s="1"/>
      <c r="B130" s="47" t="s">
        <v>99</v>
      </c>
      <c r="C130" s="47"/>
      <c r="D130" s="47"/>
      <c r="E130" s="47"/>
      <c r="F130" s="47"/>
      <c r="G130" s="47"/>
      <c r="H130" s="47"/>
      <c r="I130" s="47"/>
      <c r="J130" s="47"/>
      <c r="K130" s="1"/>
    </row>
    <row r="131" spans="1:11" x14ac:dyDescent="0.45">
      <c r="A131" s="1"/>
      <c r="B131" s="47" t="s">
        <v>100</v>
      </c>
      <c r="C131" s="47"/>
      <c r="D131" s="47"/>
      <c r="E131" s="47"/>
      <c r="F131" s="47"/>
      <c r="G131" s="47"/>
      <c r="H131" s="47"/>
      <c r="I131" s="47"/>
      <c r="J131" s="47"/>
      <c r="K131" s="1"/>
    </row>
    <row r="132" spans="1:11" x14ac:dyDescent="0.45">
      <c r="A132" s="1"/>
      <c r="B132" s="47" t="s">
        <v>101</v>
      </c>
      <c r="C132" s="47"/>
      <c r="D132" s="47"/>
      <c r="E132" s="47"/>
      <c r="F132" s="47"/>
      <c r="G132" s="47"/>
      <c r="H132" s="47"/>
      <c r="I132" s="47"/>
      <c r="J132" s="47"/>
      <c r="K132" s="1"/>
    </row>
    <row r="133" spans="1:11" x14ac:dyDescent="0.45">
      <c r="A133" s="1"/>
      <c r="B133" s="34" t="s">
        <v>102</v>
      </c>
      <c r="C133" s="47"/>
      <c r="D133" s="47"/>
      <c r="E133" s="47"/>
      <c r="F133" s="47"/>
      <c r="G133" s="47"/>
      <c r="H133" s="47"/>
      <c r="I133" s="47"/>
      <c r="J133" s="47"/>
      <c r="K133" s="1"/>
    </row>
    <row r="134" spans="1:11" x14ac:dyDescent="0.45">
      <c r="A134" s="1"/>
      <c r="B134" s="34" t="s">
        <v>103</v>
      </c>
      <c r="C134" s="47"/>
      <c r="D134" s="47"/>
      <c r="E134" s="47"/>
      <c r="F134" s="47"/>
      <c r="G134" s="47"/>
      <c r="H134" s="47"/>
      <c r="I134" s="47"/>
      <c r="J134" s="47"/>
      <c r="K134" s="1"/>
    </row>
    <row r="135" spans="1:11" x14ac:dyDescent="0.45">
      <c r="A135" s="1"/>
      <c r="B135" s="32" t="s">
        <v>104</v>
      </c>
      <c r="C135" s="47"/>
      <c r="D135" s="47"/>
      <c r="E135" s="47"/>
      <c r="F135" s="47"/>
      <c r="G135" s="47"/>
      <c r="H135" s="47"/>
      <c r="I135" s="47"/>
      <c r="J135" s="47"/>
      <c r="K135" s="1"/>
    </row>
    <row r="136" spans="1:11" x14ac:dyDescent="0.45">
      <c r="A136" s="5"/>
      <c r="B136" s="28" t="s">
        <v>105</v>
      </c>
      <c r="C136" s="18"/>
      <c r="D136" s="18"/>
      <c r="E136" s="18"/>
      <c r="F136" s="18"/>
      <c r="G136" s="18"/>
      <c r="H136" s="18"/>
      <c r="I136" s="18"/>
      <c r="J136" s="18"/>
      <c r="K136" s="5"/>
    </row>
    <row r="137" spans="1:11" x14ac:dyDescent="0.45">
      <c r="A137" s="1"/>
      <c r="B137" s="34" t="s">
        <v>106</v>
      </c>
      <c r="C137" s="47"/>
      <c r="D137" s="47"/>
      <c r="E137" s="47"/>
      <c r="F137" s="47"/>
      <c r="G137" s="47"/>
      <c r="H137" s="47"/>
      <c r="I137" s="47"/>
      <c r="J137" s="47"/>
      <c r="K137" s="1"/>
    </row>
    <row r="138" spans="1:11" x14ac:dyDescent="0.45">
      <c r="A138" s="1"/>
      <c r="B138" s="34" t="s">
        <v>107</v>
      </c>
      <c r="C138" s="47"/>
      <c r="D138" s="47"/>
      <c r="E138" s="47"/>
      <c r="F138" s="47"/>
      <c r="G138" s="47"/>
      <c r="H138" s="47"/>
      <c r="I138" s="47"/>
      <c r="J138" s="47"/>
      <c r="K138" s="1"/>
    </row>
    <row r="139" spans="1:11" x14ac:dyDescent="0.45">
      <c r="A139" s="1"/>
      <c r="B139" s="34" t="s">
        <v>108</v>
      </c>
      <c r="C139" s="47"/>
      <c r="D139" s="47"/>
      <c r="E139" s="47"/>
      <c r="F139" s="47"/>
      <c r="G139" s="47"/>
      <c r="H139" s="47"/>
      <c r="I139" s="47"/>
      <c r="J139" s="47"/>
      <c r="K139" s="1"/>
    </row>
    <row r="140" spans="1:11" x14ac:dyDescent="0.45">
      <c r="A140" s="1"/>
      <c r="B140" s="34" t="s">
        <v>109</v>
      </c>
      <c r="C140" s="47"/>
      <c r="D140" s="47"/>
      <c r="E140" s="47"/>
      <c r="F140" s="47"/>
      <c r="G140" s="47"/>
      <c r="H140" s="47"/>
      <c r="I140" s="47"/>
      <c r="J140" s="47"/>
      <c r="K140" s="1"/>
    </row>
    <row r="141" spans="1:11" x14ac:dyDescent="0.45">
      <c r="A141" s="1"/>
      <c r="B141" s="34" t="s">
        <v>110</v>
      </c>
      <c r="C141" s="47"/>
      <c r="D141" s="47"/>
      <c r="E141" s="47"/>
      <c r="F141" s="47"/>
      <c r="G141" s="47"/>
      <c r="H141" s="47"/>
      <c r="I141" s="47"/>
      <c r="J141" s="47"/>
      <c r="K141" s="1"/>
    </row>
    <row r="142" spans="1:11" x14ac:dyDescent="0.45">
      <c r="A142" s="1"/>
      <c r="B142" s="34" t="s">
        <v>111</v>
      </c>
      <c r="C142" s="47"/>
      <c r="D142" s="47"/>
      <c r="E142" s="47"/>
      <c r="F142" s="47"/>
      <c r="G142" s="47"/>
      <c r="H142" s="47"/>
      <c r="I142" s="47"/>
      <c r="J142" s="47"/>
      <c r="K142" s="1"/>
    </row>
    <row r="143" spans="1:11" x14ac:dyDescent="0.45">
      <c r="A143" s="1"/>
      <c r="B143" s="34" t="s">
        <v>112</v>
      </c>
      <c r="C143" s="47"/>
      <c r="D143" s="47"/>
      <c r="E143" s="47"/>
      <c r="F143" s="47"/>
      <c r="G143" s="47"/>
      <c r="H143" s="47"/>
      <c r="I143" s="47"/>
      <c r="J143" s="47"/>
      <c r="K143" s="1"/>
    </row>
    <row r="144" spans="1:11" x14ac:dyDescent="0.45">
      <c r="A144" s="1"/>
      <c r="B144" s="34" t="s">
        <v>113</v>
      </c>
      <c r="C144" s="47"/>
      <c r="D144" s="47"/>
      <c r="E144" s="47"/>
      <c r="F144" s="47"/>
      <c r="G144" s="47"/>
      <c r="H144" s="47"/>
      <c r="I144" s="47"/>
      <c r="J144" s="47"/>
      <c r="K144" s="1"/>
    </row>
    <row r="145" spans="1:12" x14ac:dyDescent="0.45">
      <c r="A145" s="1"/>
      <c r="B145" s="32"/>
      <c r="C145" s="47"/>
      <c r="D145" s="47"/>
      <c r="E145" s="47"/>
      <c r="F145" s="47"/>
      <c r="G145" s="47"/>
      <c r="H145" s="47"/>
      <c r="I145" s="47"/>
      <c r="J145" s="47"/>
      <c r="K145" s="1"/>
    </row>
    <row r="146" spans="1:12" x14ac:dyDescent="0.45">
      <c r="A146" s="5"/>
      <c r="B146" s="28" t="s">
        <v>114</v>
      </c>
      <c r="C146" s="18"/>
      <c r="D146" s="18"/>
      <c r="E146" s="18"/>
      <c r="F146" s="18"/>
      <c r="G146" s="18"/>
      <c r="H146" s="18"/>
      <c r="I146" s="18"/>
      <c r="J146" s="18"/>
      <c r="K146" s="5"/>
    </row>
    <row r="147" spans="1:12" x14ac:dyDescent="0.45">
      <c r="A147" s="1"/>
      <c r="B147" s="34" t="s">
        <v>115</v>
      </c>
      <c r="C147" s="47"/>
      <c r="D147" s="47"/>
      <c r="E147" s="47"/>
      <c r="F147" s="47"/>
      <c r="G147" s="47"/>
      <c r="H147" s="47"/>
      <c r="I147" s="47"/>
      <c r="J147" s="47"/>
      <c r="K147" s="1"/>
    </row>
    <row r="148" spans="1:12" x14ac:dyDescent="0.45">
      <c r="A148" s="1"/>
      <c r="B148" s="34" t="s">
        <v>116</v>
      </c>
      <c r="C148" s="47"/>
      <c r="D148" s="47"/>
      <c r="E148" s="47"/>
      <c r="F148" s="47"/>
      <c r="G148" s="47"/>
      <c r="H148" s="47"/>
      <c r="I148" s="47"/>
      <c r="J148" s="47"/>
      <c r="K148" s="1"/>
    </row>
    <row r="149" spans="1:12" x14ac:dyDescent="0.45">
      <c r="A149" s="1"/>
      <c r="B149" s="34" t="s">
        <v>117</v>
      </c>
      <c r="C149" s="47"/>
      <c r="D149" s="47"/>
      <c r="E149" s="47"/>
      <c r="F149" s="47"/>
      <c r="G149" s="47"/>
      <c r="H149" s="47"/>
      <c r="I149" s="47"/>
      <c r="J149" s="47"/>
      <c r="K149" s="1"/>
    </row>
    <row r="150" spans="1:12" x14ac:dyDescent="0.45">
      <c r="A150" s="1"/>
      <c r="B150" s="34" t="s">
        <v>118</v>
      </c>
      <c r="C150" s="47"/>
      <c r="D150" s="47"/>
      <c r="E150" s="47"/>
      <c r="F150" s="47"/>
      <c r="G150" s="47"/>
      <c r="H150" s="47"/>
      <c r="I150" s="47"/>
      <c r="J150" s="47"/>
      <c r="K150" s="1"/>
    </row>
    <row r="151" spans="1:12" x14ac:dyDescent="0.45">
      <c r="A151" s="1"/>
      <c r="B151" s="34" t="s">
        <v>119</v>
      </c>
      <c r="C151" s="47"/>
      <c r="D151" s="47"/>
      <c r="E151" s="47"/>
      <c r="F151" s="47"/>
      <c r="G151" s="47"/>
      <c r="H151" s="47"/>
      <c r="I151" s="47"/>
      <c r="J151" s="47"/>
      <c r="K151" s="1"/>
    </row>
    <row r="152" spans="1:12" x14ac:dyDescent="0.45">
      <c r="B152" s="34" t="s">
        <v>120</v>
      </c>
      <c r="C152" s="47"/>
      <c r="D152" s="47"/>
      <c r="E152" s="47"/>
      <c r="F152" s="47"/>
      <c r="G152" s="47"/>
      <c r="H152" s="47"/>
      <c r="I152" s="47"/>
      <c r="J152" s="47"/>
      <c r="L152" s="114" t="s">
        <v>121</v>
      </c>
    </row>
    <row r="153" spans="1:12" x14ac:dyDescent="0.45">
      <c r="A153" s="1"/>
      <c r="B153" s="32"/>
      <c r="C153" s="47"/>
      <c r="D153" s="47"/>
      <c r="E153" s="47"/>
      <c r="F153" s="47"/>
      <c r="G153" s="47"/>
      <c r="H153" s="47"/>
      <c r="I153" s="47"/>
      <c r="J153" s="47"/>
      <c r="K153" s="1"/>
    </row>
    <row r="154" spans="1:12" x14ac:dyDescent="0.45">
      <c r="A154" s="5"/>
      <c r="B154" s="28" t="s">
        <v>122</v>
      </c>
      <c r="C154" s="18"/>
      <c r="D154" s="18"/>
      <c r="E154" s="18"/>
      <c r="F154" s="18"/>
      <c r="G154" s="18"/>
      <c r="H154" s="18"/>
      <c r="I154" s="18"/>
      <c r="J154" s="18"/>
      <c r="K154" s="5"/>
    </row>
    <row r="155" spans="1:12" x14ac:dyDescent="0.45">
      <c r="A155" s="1"/>
      <c r="B155" s="34" t="s">
        <v>123</v>
      </c>
      <c r="C155" s="47"/>
      <c r="D155" s="47"/>
      <c r="E155" s="47"/>
      <c r="F155" s="47"/>
      <c r="G155" s="47"/>
      <c r="H155" s="47"/>
      <c r="I155" s="47"/>
      <c r="J155" s="47"/>
      <c r="K155" s="1"/>
    </row>
    <row r="156" spans="1:12" x14ac:dyDescent="0.45">
      <c r="A156" s="1"/>
      <c r="B156" s="47" t="s">
        <v>124</v>
      </c>
      <c r="C156" s="47"/>
      <c r="D156" s="47"/>
      <c r="E156" s="47"/>
      <c r="F156" s="47"/>
      <c r="G156" s="47"/>
      <c r="H156" s="47"/>
      <c r="I156" s="47"/>
      <c r="J156" s="47"/>
      <c r="K156" s="1"/>
    </row>
    <row r="157" spans="1:12" x14ac:dyDescent="0.45">
      <c r="A157" s="1"/>
      <c r="B157" s="47" t="s">
        <v>125</v>
      </c>
      <c r="C157" s="47"/>
      <c r="D157" s="47"/>
      <c r="E157" s="47"/>
      <c r="F157" s="47"/>
      <c r="G157" s="47"/>
      <c r="H157" s="47"/>
      <c r="I157" s="47"/>
      <c r="J157" s="47"/>
      <c r="K157" s="1"/>
    </row>
    <row r="158" spans="1:12" x14ac:dyDescent="0.45">
      <c r="A158" s="1"/>
      <c r="B158" s="32"/>
      <c r="C158" s="47"/>
      <c r="D158" s="47"/>
      <c r="E158" s="47"/>
      <c r="F158" s="47"/>
      <c r="G158" s="47"/>
      <c r="H158" s="47"/>
      <c r="I158" s="47"/>
      <c r="J158" s="47"/>
      <c r="K158" s="1"/>
    </row>
    <row r="159" spans="1:12" x14ac:dyDescent="0.45">
      <c r="A159" s="5"/>
      <c r="B159" s="28" t="s">
        <v>126</v>
      </c>
      <c r="C159" s="18"/>
      <c r="D159" s="18"/>
      <c r="E159" s="18"/>
      <c r="F159" s="18"/>
      <c r="G159" s="18"/>
      <c r="H159" s="18"/>
      <c r="I159" s="18"/>
      <c r="J159" s="18"/>
      <c r="K159" s="5"/>
    </row>
    <row r="160" spans="1:12" x14ac:dyDescent="0.45">
      <c r="A160" s="1"/>
      <c r="B160" s="34" t="s">
        <v>127</v>
      </c>
      <c r="C160" s="47"/>
      <c r="D160" s="47"/>
      <c r="E160" s="47"/>
      <c r="F160" s="47"/>
      <c r="G160" s="47"/>
      <c r="H160" s="47"/>
      <c r="I160" s="47"/>
      <c r="J160" s="47"/>
      <c r="K160" s="1"/>
    </row>
    <row r="161" spans="1:11" x14ac:dyDescent="0.45">
      <c r="A161" s="1"/>
      <c r="B161" s="34" t="s">
        <v>128</v>
      </c>
      <c r="C161" s="47"/>
      <c r="D161" s="47"/>
      <c r="E161" s="47"/>
      <c r="F161" s="47"/>
      <c r="G161" s="47"/>
      <c r="H161" s="47"/>
      <c r="I161" s="47"/>
      <c r="J161" s="47"/>
      <c r="K161" s="1"/>
    </row>
    <row r="162" spans="1:11" x14ac:dyDescent="0.45">
      <c r="A162" s="1"/>
      <c r="B162" s="34" t="s">
        <v>129</v>
      </c>
      <c r="C162" s="47"/>
      <c r="D162" s="47"/>
      <c r="E162" s="47"/>
      <c r="F162" s="47"/>
      <c r="G162" s="47"/>
      <c r="H162" s="47"/>
      <c r="I162" s="47"/>
      <c r="J162" s="47"/>
      <c r="K162" s="1"/>
    </row>
    <row r="163" spans="1:11" x14ac:dyDescent="0.45">
      <c r="A163" s="1"/>
      <c r="B163" s="47" t="s">
        <v>130</v>
      </c>
      <c r="C163" s="47"/>
      <c r="D163" s="47"/>
      <c r="E163" s="47"/>
      <c r="F163" s="47"/>
      <c r="G163" s="47"/>
      <c r="H163" s="47"/>
      <c r="I163" s="47"/>
      <c r="J163" s="47"/>
      <c r="K163" s="1"/>
    </row>
    <row r="164" spans="1:11" x14ac:dyDescent="0.45">
      <c r="A164" s="1"/>
      <c r="B164" s="47" t="s">
        <v>131</v>
      </c>
      <c r="C164" s="47"/>
      <c r="D164" s="47"/>
      <c r="E164" s="47"/>
      <c r="F164" s="47"/>
      <c r="G164" s="47"/>
      <c r="H164" s="47"/>
      <c r="I164" s="47"/>
      <c r="J164" s="47"/>
      <c r="K164" s="1"/>
    </row>
    <row r="165" spans="1:11" x14ac:dyDescent="0.45">
      <c r="A165" s="1"/>
      <c r="B165" s="47" t="s">
        <v>132</v>
      </c>
      <c r="C165" s="47"/>
      <c r="D165" s="47"/>
      <c r="E165" s="47"/>
      <c r="F165" s="47"/>
      <c r="G165" s="47"/>
      <c r="H165" s="47"/>
      <c r="I165" s="47"/>
      <c r="J165" s="47"/>
      <c r="K165" s="1"/>
    </row>
    <row r="166" spans="1:11" x14ac:dyDescent="0.45">
      <c r="A166" s="1"/>
      <c r="B166" s="47" t="s">
        <v>133</v>
      </c>
      <c r="C166" s="47"/>
      <c r="D166" s="47"/>
      <c r="E166" s="47"/>
      <c r="F166" s="47"/>
      <c r="G166" s="47"/>
      <c r="H166" s="47"/>
      <c r="I166" s="47"/>
      <c r="J166" s="47"/>
      <c r="K166" s="1"/>
    </row>
    <row r="167" spans="1:11" x14ac:dyDescent="0.45">
      <c r="A167" s="1"/>
      <c r="B167" s="47" t="s">
        <v>134</v>
      </c>
      <c r="C167" s="47"/>
      <c r="D167" s="47"/>
      <c r="E167" s="47"/>
      <c r="F167" s="47"/>
      <c r="G167" s="47"/>
      <c r="H167" s="47"/>
      <c r="I167" s="47"/>
      <c r="J167" s="47"/>
      <c r="K167" s="1"/>
    </row>
    <row r="168" spans="1:11" x14ac:dyDescent="0.45">
      <c r="A168" s="1"/>
      <c r="B168" s="47" t="s">
        <v>135</v>
      </c>
      <c r="C168" s="47"/>
      <c r="D168" s="47"/>
      <c r="E168" s="47"/>
      <c r="F168" s="47"/>
      <c r="G168" s="47"/>
      <c r="H168" s="47"/>
      <c r="I168" s="47"/>
      <c r="J168" s="47"/>
      <c r="K168" s="1"/>
    </row>
    <row r="169" spans="1:11" x14ac:dyDescent="0.45">
      <c r="A169" s="1"/>
      <c r="B169" s="47" t="s">
        <v>136</v>
      </c>
      <c r="C169" s="47"/>
      <c r="D169" s="47"/>
      <c r="E169" s="47"/>
      <c r="F169" s="47"/>
      <c r="G169" s="47"/>
      <c r="H169" s="47"/>
      <c r="I169" s="47"/>
      <c r="J169" s="47"/>
      <c r="K169" s="1"/>
    </row>
    <row r="170" spans="1:11" x14ac:dyDescent="0.45">
      <c r="A170" s="1"/>
      <c r="B170" s="32" t="s">
        <v>137</v>
      </c>
      <c r="C170" s="47"/>
      <c r="D170" s="47"/>
      <c r="E170" s="47"/>
      <c r="F170" s="47"/>
      <c r="G170" s="47"/>
      <c r="H170" s="47"/>
      <c r="I170" s="47"/>
      <c r="J170" s="47"/>
      <c r="K170" s="1"/>
    </row>
    <row r="171" spans="1:11" x14ac:dyDescent="0.45">
      <c r="A171" s="1"/>
      <c r="B171" s="32" t="s">
        <v>138</v>
      </c>
      <c r="C171" s="47"/>
      <c r="D171" s="47"/>
      <c r="E171" s="47"/>
      <c r="F171" s="47"/>
      <c r="G171" s="47"/>
      <c r="H171" s="47"/>
      <c r="I171" s="47"/>
      <c r="J171" s="47"/>
      <c r="K171" s="1"/>
    </row>
    <row r="172" spans="1:11" x14ac:dyDescent="0.45">
      <c r="A172" s="1"/>
      <c r="B172" s="32"/>
      <c r="C172" s="47"/>
      <c r="D172" s="47"/>
      <c r="E172" s="47"/>
      <c r="F172" s="47"/>
      <c r="G172" s="47"/>
      <c r="H172" s="47"/>
      <c r="I172" s="47"/>
      <c r="J172" s="47"/>
      <c r="K172" s="1"/>
    </row>
    <row r="173" spans="1:11" x14ac:dyDescent="0.45">
      <c r="A173" s="5"/>
      <c r="B173" s="28" t="s">
        <v>139</v>
      </c>
      <c r="C173" s="18"/>
      <c r="D173" s="18"/>
      <c r="E173" s="18"/>
      <c r="F173" s="18"/>
      <c r="G173" s="18"/>
      <c r="H173" s="18"/>
      <c r="I173" s="18"/>
      <c r="J173" s="18"/>
      <c r="K173" s="5"/>
    </row>
    <row r="174" spans="1:11" x14ac:dyDescent="0.45">
      <c r="A174" s="1"/>
      <c r="B174" s="34" t="s">
        <v>140</v>
      </c>
      <c r="C174" s="47"/>
      <c r="D174" s="47"/>
      <c r="E174" s="47"/>
      <c r="F174" s="47"/>
      <c r="G174" s="47"/>
      <c r="H174" s="47"/>
      <c r="I174" s="47"/>
      <c r="J174" s="47"/>
      <c r="K174" s="1"/>
    </row>
    <row r="175" spans="1:11" x14ac:dyDescent="0.45">
      <c r="A175" s="1"/>
      <c r="B175" s="34" t="s">
        <v>141</v>
      </c>
      <c r="C175" s="47"/>
      <c r="D175" s="47"/>
      <c r="E175" s="47"/>
      <c r="F175" s="47"/>
      <c r="G175" s="47"/>
      <c r="H175" s="47"/>
      <c r="I175" s="47"/>
      <c r="J175" s="47"/>
      <c r="K175" s="1"/>
    </row>
    <row r="176" spans="1:11" x14ac:dyDescent="0.45">
      <c r="A176" s="1"/>
      <c r="B176" s="34" t="s">
        <v>142</v>
      </c>
      <c r="C176" s="47"/>
      <c r="D176" s="47"/>
      <c r="E176" s="47"/>
      <c r="F176" s="47"/>
      <c r="G176" s="47"/>
      <c r="H176" s="47"/>
      <c r="I176" s="47"/>
      <c r="J176" s="47"/>
      <c r="K176" s="1"/>
    </row>
    <row r="177" spans="1:11" x14ac:dyDescent="0.45">
      <c r="A177" s="1"/>
      <c r="B177" s="34" t="s">
        <v>143</v>
      </c>
      <c r="C177" s="47"/>
      <c r="D177" s="47"/>
      <c r="E177" s="47"/>
      <c r="F177" s="47"/>
      <c r="G177" s="47"/>
      <c r="H177" s="47"/>
      <c r="I177" s="47"/>
      <c r="J177" s="47"/>
      <c r="K177" s="1"/>
    </row>
    <row r="178" spans="1:11" x14ac:dyDescent="0.45">
      <c r="A178" s="1"/>
      <c r="B178" s="34"/>
      <c r="C178" s="47"/>
      <c r="D178" s="47"/>
      <c r="E178" s="47"/>
      <c r="F178" s="47"/>
      <c r="G178" s="47"/>
      <c r="H178" s="47"/>
      <c r="I178" s="47"/>
      <c r="J178" s="47"/>
      <c r="K178" s="1"/>
    </row>
    <row r="179" spans="1:11" x14ac:dyDescent="0.45">
      <c r="A179" s="1"/>
      <c r="B179" s="28" t="s">
        <v>144</v>
      </c>
      <c r="C179" s="47"/>
      <c r="D179" s="47"/>
      <c r="E179" s="47"/>
      <c r="F179" s="47"/>
      <c r="G179" s="47"/>
      <c r="H179" s="47"/>
      <c r="I179" s="47"/>
      <c r="J179" s="47"/>
      <c r="K179" s="1"/>
    </row>
    <row r="180" spans="1:11" x14ac:dyDescent="0.45">
      <c r="A180" s="1"/>
      <c r="B180" s="34" t="s">
        <v>145</v>
      </c>
      <c r="C180" s="47"/>
      <c r="D180" s="47"/>
      <c r="E180" s="47"/>
      <c r="F180" s="47"/>
      <c r="G180" s="47"/>
      <c r="H180" s="47"/>
      <c r="I180" s="47"/>
      <c r="J180" s="47"/>
      <c r="K180" s="1"/>
    </row>
    <row r="181" spans="1:11" x14ac:dyDescent="0.45">
      <c r="A181" s="1"/>
      <c r="B181" s="34" t="s">
        <v>146</v>
      </c>
      <c r="C181" s="47"/>
      <c r="D181" s="47"/>
      <c r="E181" s="47"/>
      <c r="F181" s="47"/>
      <c r="G181" s="47"/>
      <c r="H181" s="47"/>
      <c r="I181" s="47"/>
      <c r="J181" s="47"/>
      <c r="K181" s="1"/>
    </row>
    <row r="182" spans="1:11" x14ac:dyDescent="0.45">
      <c r="A182" s="1"/>
      <c r="B182" s="34"/>
      <c r="C182" s="47"/>
      <c r="D182" s="47"/>
      <c r="E182" s="47"/>
      <c r="F182" s="47"/>
      <c r="G182" s="47"/>
      <c r="H182" s="47"/>
      <c r="I182" s="47"/>
      <c r="J182" s="47"/>
      <c r="K182" s="1"/>
    </row>
    <row r="183" spans="1:11" x14ac:dyDescent="0.45">
      <c r="A183" s="5"/>
      <c r="B183" s="28" t="s">
        <v>147</v>
      </c>
      <c r="C183" s="18"/>
      <c r="D183" s="18"/>
      <c r="E183" s="18"/>
      <c r="F183" s="18"/>
      <c r="G183" s="18"/>
      <c r="H183" s="18"/>
      <c r="I183" s="18"/>
      <c r="J183" s="18"/>
      <c r="K183" s="5"/>
    </row>
    <row r="184" spans="1:11" x14ac:dyDescent="0.45">
      <c r="A184" s="1"/>
      <c r="B184" s="34" t="s">
        <v>148</v>
      </c>
      <c r="C184" s="47"/>
      <c r="D184" s="47"/>
      <c r="E184" s="47"/>
      <c r="F184" s="47"/>
      <c r="G184" s="47"/>
      <c r="H184" s="47"/>
      <c r="I184" s="47"/>
      <c r="J184" s="47"/>
      <c r="K184" s="1"/>
    </row>
    <row r="185" spans="1:11" x14ac:dyDescent="0.45">
      <c r="A185" s="1"/>
      <c r="B185" s="34" t="s">
        <v>149</v>
      </c>
      <c r="C185" s="47"/>
      <c r="D185" s="47"/>
      <c r="E185" s="47"/>
      <c r="F185" s="47"/>
      <c r="G185" s="47"/>
      <c r="H185" s="47"/>
      <c r="I185" s="47"/>
      <c r="J185" s="47"/>
      <c r="K185" s="1"/>
    </row>
    <row r="186" spans="1:11" x14ac:dyDescent="0.45">
      <c r="A186" s="1"/>
      <c r="B186" s="34" t="s">
        <v>150</v>
      </c>
      <c r="C186" s="48"/>
      <c r="D186" s="48"/>
      <c r="E186" s="48"/>
      <c r="F186" s="48"/>
      <c r="G186" s="48"/>
      <c r="H186" s="48"/>
      <c r="I186" s="48"/>
      <c r="J186" s="48"/>
      <c r="K186" s="1"/>
    </row>
    <row r="187" spans="1:11" x14ac:dyDescent="0.45">
      <c r="A187" s="1"/>
      <c r="B187" s="34" t="s">
        <v>151</v>
      </c>
      <c r="C187" s="48"/>
      <c r="D187" s="48"/>
      <c r="E187" s="48"/>
      <c r="F187" s="48"/>
      <c r="G187" s="48"/>
      <c r="H187" s="48"/>
      <c r="I187" s="48"/>
      <c r="J187" s="48"/>
      <c r="K187" s="1"/>
    </row>
    <row r="188" spans="1:11" x14ac:dyDescent="0.45">
      <c r="A188" s="1"/>
      <c r="B188" s="32" t="s">
        <v>152</v>
      </c>
      <c r="C188" s="47"/>
      <c r="D188" s="47"/>
      <c r="E188" s="47"/>
      <c r="F188" s="47"/>
      <c r="G188" s="47"/>
      <c r="H188" s="47"/>
      <c r="I188" s="47"/>
      <c r="J188" s="47"/>
      <c r="K188" s="1"/>
    </row>
    <row r="189" spans="1:11" x14ac:dyDescent="0.45">
      <c r="A189" s="1"/>
      <c r="B189" s="32" t="s">
        <v>153</v>
      </c>
      <c r="C189" s="47"/>
      <c r="D189" s="47"/>
      <c r="E189" s="47"/>
      <c r="F189" s="47"/>
      <c r="G189" s="47"/>
      <c r="H189" s="47"/>
      <c r="I189" s="47"/>
      <c r="J189" s="47"/>
      <c r="K189" s="1"/>
    </row>
    <row r="190" spans="1:11" x14ac:dyDescent="0.45">
      <c r="A190" s="1"/>
      <c r="B190" s="34" t="s">
        <v>154</v>
      </c>
      <c r="C190" s="47"/>
      <c r="D190" s="47"/>
      <c r="E190" s="47"/>
      <c r="F190" s="47"/>
      <c r="G190" s="47"/>
      <c r="H190" s="47"/>
      <c r="I190" s="47"/>
      <c r="J190" s="47"/>
      <c r="K190" s="1"/>
    </row>
    <row r="191" spans="1:11" x14ac:dyDescent="0.45">
      <c r="A191" s="1"/>
      <c r="B191" s="32" t="s">
        <v>155</v>
      </c>
      <c r="C191" s="47"/>
      <c r="D191" s="47"/>
      <c r="E191" s="47"/>
      <c r="F191" s="47"/>
      <c r="G191" s="47"/>
      <c r="H191" s="47"/>
      <c r="I191" s="47"/>
      <c r="J191" s="47"/>
      <c r="K191" s="1"/>
    </row>
    <row r="192" spans="1:11" x14ac:dyDescent="0.45">
      <c r="A192" s="1"/>
      <c r="B192" s="46" t="s">
        <v>156</v>
      </c>
      <c r="C192" s="47"/>
      <c r="D192" s="47"/>
      <c r="E192" s="47"/>
      <c r="F192" s="47"/>
      <c r="G192" s="47"/>
      <c r="H192" s="47"/>
      <c r="I192" s="47"/>
      <c r="J192" s="47"/>
      <c r="K192" s="1"/>
    </row>
    <row r="193" spans="1:11" x14ac:dyDescent="0.45">
      <c r="A193" s="1"/>
      <c r="B193" s="44" t="s">
        <v>157</v>
      </c>
      <c r="C193" s="47"/>
      <c r="D193" s="47"/>
      <c r="E193" s="47"/>
      <c r="F193" s="47"/>
      <c r="G193" s="47"/>
      <c r="H193" s="47"/>
      <c r="I193" s="47"/>
      <c r="J193" s="47"/>
      <c r="K193" s="1"/>
    </row>
    <row r="194" spans="1:11" x14ac:dyDescent="0.45">
      <c r="A194" s="1"/>
      <c r="B194" s="44" t="s">
        <v>158</v>
      </c>
      <c r="C194" s="47"/>
      <c r="D194" s="47"/>
      <c r="E194" s="47"/>
      <c r="F194" s="47"/>
      <c r="G194" s="47"/>
      <c r="H194" s="47"/>
      <c r="I194" s="47"/>
      <c r="J194" s="47"/>
      <c r="K194" s="1"/>
    </row>
    <row r="195" spans="1:11" x14ac:dyDescent="0.45">
      <c r="A195" s="1"/>
      <c r="B195" s="32"/>
      <c r="C195" s="47"/>
      <c r="D195" s="47"/>
      <c r="E195" s="47"/>
      <c r="F195" s="47"/>
      <c r="G195" s="47"/>
      <c r="H195" s="47"/>
      <c r="I195" s="47"/>
      <c r="J195" s="47"/>
      <c r="K195" s="1"/>
    </row>
    <row r="196" spans="1:11" x14ac:dyDescent="0.45">
      <c r="A196" s="5"/>
      <c r="B196" s="28" t="s">
        <v>159</v>
      </c>
      <c r="C196" s="18"/>
      <c r="D196" s="18"/>
      <c r="E196" s="18"/>
      <c r="F196" s="18"/>
      <c r="G196" s="18"/>
      <c r="H196" s="18"/>
      <c r="I196" s="18"/>
      <c r="J196" s="18"/>
      <c r="K196" s="5"/>
    </row>
    <row r="197" spans="1:11" x14ac:dyDescent="0.45">
      <c r="A197" s="1"/>
      <c r="B197" s="34" t="s">
        <v>160</v>
      </c>
      <c r="C197" s="47"/>
      <c r="D197" s="47"/>
      <c r="E197" s="47"/>
      <c r="F197" s="47"/>
      <c r="G197" s="47"/>
      <c r="H197" s="47"/>
      <c r="I197" s="47"/>
      <c r="J197" s="47"/>
      <c r="K197" s="1"/>
    </row>
    <row r="198" spans="1:11" x14ac:dyDescent="0.45">
      <c r="A198" s="1"/>
      <c r="B198" s="34" t="s">
        <v>161</v>
      </c>
      <c r="C198" s="47"/>
      <c r="D198" s="47"/>
      <c r="E198" s="47"/>
      <c r="F198" s="47"/>
      <c r="G198" s="47"/>
      <c r="H198" s="47"/>
      <c r="I198" s="47"/>
      <c r="J198" s="47"/>
      <c r="K198" s="1"/>
    </row>
    <row r="199" spans="1:11" x14ac:dyDescent="0.45">
      <c r="A199" s="1"/>
      <c r="B199" s="34" t="s">
        <v>162</v>
      </c>
      <c r="C199" s="47"/>
      <c r="D199" s="47"/>
      <c r="E199" s="47"/>
      <c r="F199" s="47"/>
      <c r="G199" s="47"/>
      <c r="H199" s="47"/>
      <c r="I199" s="47"/>
      <c r="J199" s="47"/>
      <c r="K199" s="1"/>
    </row>
    <row r="200" spans="1:11" x14ac:dyDescent="0.45">
      <c r="A200" s="1"/>
      <c r="B200" s="34" t="s">
        <v>163</v>
      </c>
      <c r="C200" s="47"/>
      <c r="D200" s="47"/>
      <c r="E200" s="47"/>
      <c r="F200" s="47"/>
      <c r="G200" s="47"/>
      <c r="H200" s="47"/>
      <c r="I200" s="47"/>
      <c r="J200" s="47"/>
      <c r="K200" s="1"/>
    </row>
    <row r="201" spans="1:11" x14ac:dyDescent="0.45">
      <c r="A201" s="1"/>
      <c r="B201" s="34" t="s">
        <v>164</v>
      </c>
      <c r="C201" s="47"/>
      <c r="D201" s="47"/>
      <c r="E201" s="47"/>
      <c r="F201" s="47"/>
      <c r="G201" s="47"/>
      <c r="H201" s="47"/>
      <c r="I201" s="47"/>
      <c r="J201" s="47"/>
      <c r="K201" s="1"/>
    </row>
    <row r="202" spans="1:11" x14ac:dyDescent="0.45">
      <c r="A202" s="1"/>
      <c r="B202" s="34" t="s">
        <v>165</v>
      </c>
      <c r="C202" s="47"/>
      <c r="D202" s="47"/>
      <c r="E202" s="47"/>
      <c r="F202" s="47"/>
      <c r="G202" s="47"/>
      <c r="H202" s="47"/>
      <c r="I202" s="47"/>
      <c r="J202" s="47"/>
      <c r="K202" s="1"/>
    </row>
    <row r="203" spans="1:11" x14ac:dyDescent="0.45">
      <c r="A203" s="1"/>
      <c r="B203" s="34" t="s">
        <v>166</v>
      </c>
      <c r="C203" s="47"/>
      <c r="D203" s="47"/>
      <c r="E203" s="47"/>
      <c r="F203" s="47"/>
      <c r="G203" s="47"/>
      <c r="H203" s="47"/>
      <c r="I203" s="47"/>
      <c r="J203" s="47"/>
      <c r="K203" s="1"/>
    </row>
    <row r="204" spans="1:11" x14ac:dyDescent="0.45">
      <c r="A204" s="1"/>
      <c r="B204" s="34" t="s">
        <v>167</v>
      </c>
      <c r="C204" s="47"/>
      <c r="D204" s="47"/>
      <c r="E204" s="47"/>
      <c r="F204" s="47"/>
      <c r="G204" s="47"/>
      <c r="H204" s="47"/>
      <c r="I204" s="47"/>
      <c r="J204" s="47"/>
      <c r="K204" s="1"/>
    </row>
    <row r="205" spans="1:11" x14ac:dyDescent="0.45">
      <c r="A205" s="1"/>
      <c r="B205" s="34" t="s">
        <v>168</v>
      </c>
      <c r="C205" s="47"/>
      <c r="D205" s="47"/>
      <c r="E205" s="47"/>
      <c r="F205" s="47"/>
      <c r="G205" s="47"/>
      <c r="H205" s="47"/>
      <c r="I205" s="47"/>
      <c r="J205" s="47"/>
      <c r="K205" s="1"/>
    </row>
    <row r="206" spans="1:11" x14ac:dyDescent="0.45">
      <c r="A206" s="1"/>
      <c r="B206" s="34" t="s">
        <v>169</v>
      </c>
      <c r="C206" s="47"/>
      <c r="D206" s="47"/>
      <c r="E206" s="47"/>
      <c r="F206" s="47"/>
      <c r="G206" s="47"/>
      <c r="H206" s="47"/>
      <c r="I206" s="47"/>
      <c r="J206" s="47"/>
      <c r="K206" s="1"/>
    </row>
    <row r="207" spans="1:11" x14ac:dyDescent="0.45">
      <c r="A207" s="1"/>
      <c r="B207" s="34" t="s">
        <v>170</v>
      </c>
      <c r="C207" s="47"/>
      <c r="D207" s="47"/>
      <c r="E207" s="47"/>
      <c r="F207" s="47"/>
      <c r="G207" s="47"/>
      <c r="H207" s="47"/>
      <c r="I207" s="47"/>
      <c r="J207" s="47"/>
      <c r="K207" s="1"/>
    </row>
    <row r="208" spans="1:11" x14ac:dyDescent="0.45">
      <c r="A208" s="1"/>
      <c r="B208" s="34" t="s">
        <v>171</v>
      </c>
      <c r="C208" s="47"/>
      <c r="D208" s="47"/>
      <c r="E208" s="47"/>
      <c r="F208" s="47"/>
      <c r="G208" s="47"/>
      <c r="H208" s="47"/>
      <c r="I208" s="47"/>
      <c r="J208" s="47"/>
      <c r="K208" s="1"/>
    </row>
    <row r="209" spans="1:11" x14ac:dyDescent="0.45">
      <c r="A209" s="1"/>
      <c r="B209" s="34" t="s">
        <v>172</v>
      </c>
      <c r="C209" s="47"/>
      <c r="D209" s="47"/>
      <c r="E209" s="47"/>
      <c r="F209" s="47"/>
      <c r="G209" s="47"/>
      <c r="H209" s="47"/>
      <c r="I209" s="47"/>
      <c r="J209" s="47"/>
      <c r="K209" s="1"/>
    </row>
    <row r="210" spans="1:11" x14ac:dyDescent="0.45">
      <c r="A210" s="1"/>
      <c r="B210" s="32"/>
      <c r="C210" s="47"/>
      <c r="D210" s="47"/>
      <c r="E210" s="47"/>
      <c r="F210" s="47"/>
      <c r="G210" s="47"/>
      <c r="H210" s="47"/>
      <c r="I210" s="47"/>
      <c r="J210" s="47"/>
      <c r="K210" s="1"/>
    </row>
    <row r="211" spans="1:11" x14ac:dyDescent="0.45">
      <c r="A211" s="5"/>
      <c r="B211" s="28" t="s">
        <v>173</v>
      </c>
      <c r="C211" s="18"/>
      <c r="D211" s="18"/>
      <c r="E211" s="18"/>
      <c r="F211" s="18"/>
      <c r="G211" s="18"/>
      <c r="H211" s="18"/>
      <c r="I211" s="18"/>
      <c r="J211" s="18"/>
      <c r="K211" s="5"/>
    </row>
    <row r="212" spans="1:11" x14ac:dyDescent="0.45">
      <c r="A212" s="1"/>
      <c r="B212" s="34" t="s">
        <v>174</v>
      </c>
      <c r="C212" s="47"/>
      <c r="D212" s="47"/>
      <c r="E212" s="47"/>
      <c r="F212" s="47"/>
      <c r="G212" s="47"/>
      <c r="H212" s="47"/>
      <c r="I212" s="47"/>
      <c r="J212" s="47"/>
      <c r="K212" s="1"/>
    </row>
    <row r="213" spans="1:11" x14ac:dyDescent="0.45">
      <c r="A213" s="1"/>
      <c r="B213" s="34" t="s">
        <v>175</v>
      </c>
      <c r="C213" s="47"/>
      <c r="D213" s="47"/>
      <c r="E213" s="47"/>
      <c r="F213" s="47"/>
      <c r="G213" s="47"/>
      <c r="H213" s="47"/>
      <c r="I213" s="47"/>
      <c r="J213" s="47"/>
      <c r="K213" s="1"/>
    </row>
    <row r="214" spans="1:11" x14ac:dyDescent="0.45">
      <c r="A214" s="1"/>
      <c r="B214" s="32"/>
      <c r="C214" s="47"/>
      <c r="D214" s="47"/>
      <c r="E214" s="47"/>
      <c r="F214" s="47"/>
      <c r="G214" s="47"/>
      <c r="H214" s="47"/>
      <c r="I214" s="47"/>
      <c r="J214" s="47"/>
      <c r="K214" s="1"/>
    </row>
    <row r="215" spans="1:11" x14ac:dyDescent="0.45">
      <c r="A215" s="16"/>
      <c r="B215" s="28" t="s">
        <v>176</v>
      </c>
      <c r="C215" s="18"/>
      <c r="D215" s="61"/>
      <c r="E215" s="18"/>
      <c r="F215" s="18"/>
      <c r="G215" s="18"/>
      <c r="H215" s="18"/>
      <c r="I215" s="18"/>
      <c r="J215" s="18"/>
      <c r="K215" s="16"/>
    </row>
    <row r="216" spans="1:11" x14ac:dyDescent="0.45">
      <c r="A216" s="1"/>
      <c r="B216" s="34" t="s">
        <v>177</v>
      </c>
      <c r="C216" s="47"/>
      <c r="D216" s="47"/>
      <c r="E216" s="47"/>
      <c r="F216" s="47"/>
      <c r="G216" s="47"/>
      <c r="H216" s="47"/>
      <c r="I216" s="47"/>
      <c r="J216" s="47"/>
      <c r="K216" s="1"/>
    </row>
    <row r="217" spans="1:11" x14ac:dyDescent="0.45">
      <c r="A217" s="1"/>
      <c r="B217" s="34" t="s">
        <v>178</v>
      </c>
      <c r="C217" s="47"/>
      <c r="D217" s="47"/>
      <c r="E217" s="47"/>
      <c r="F217" s="47"/>
      <c r="G217" s="47"/>
      <c r="H217" s="47"/>
      <c r="I217" s="47"/>
      <c r="J217" s="47"/>
      <c r="K217" s="1"/>
    </row>
    <row r="218" spans="1:11" x14ac:dyDescent="0.45">
      <c r="A218" s="1"/>
      <c r="B218" s="34" t="s">
        <v>179</v>
      </c>
      <c r="C218" s="47"/>
      <c r="D218" s="47"/>
      <c r="E218" s="47"/>
      <c r="F218" s="47"/>
      <c r="G218" s="47"/>
      <c r="H218" s="47"/>
      <c r="I218" s="47"/>
      <c r="J218" s="47"/>
      <c r="K218" s="1"/>
    </row>
    <row r="219" spans="1:11" x14ac:dyDescent="0.45">
      <c r="A219" s="1"/>
      <c r="B219" s="34" t="s">
        <v>180</v>
      </c>
      <c r="C219" s="47"/>
      <c r="D219" s="47"/>
      <c r="E219" s="47"/>
      <c r="F219" s="47"/>
      <c r="G219" s="47"/>
      <c r="H219" s="47"/>
      <c r="I219" s="47"/>
      <c r="J219" s="47"/>
      <c r="K219" s="1"/>
    </row>
    <row r="220" spans="1:11" x14ac:dyDescent="0.45">
      <c r="A220" s="1"/>
      <c r="B220" s="32"/>
      <c r="C220" s="47"/>
      <c r="D220" s="47"/>
      <c r="E220" s="47"/>
      <c r="F220" s="47"/>
      <c r="G220" s="47"/>
      <c r="H220" s="47"/>
      <c r="I220" s="47"/>
      <c r="J220" s="47"/>
      <c r="K220" s="1"/>
    </row>
    <row r="221" spans="1:11" x14ac:dyDescent="0.45">
      <c r="A221" s="5"/>
      <c r="B221" s="28" t="s">
        <v>181</v>
      </c>
      <c r="C221" s="18"/>
      <c r="D221" s="18"/>
      <c r="E221" s="18"/>
      <c r="F221" s="18"/>
      <c r="G221" s="18"/>
      <c r="H221" s="18"/>
      <c r="I221" s="18"/>
      <c r="J221" s="18"/>
      <c r="K221" s="5"/>
    </row>
    <row r="222" spans="1:11" x14ac:dyDescent="0.45">
      <c r="A222" s="1"/>
      <c r="B222" s="34" t="s">
        <v>182</v>
      </c>
      <c r="C222" s="47"/>
      <c r="D222" s="47"/>
      <c r="E222" s="47"/>
      <c r="F222" s="47"/>
      <c r="G222" s="47"/>
      <c r="H222" s="47"/>
      <c r="I222" s="47"/>
      <c r="J222" s="47"/>
      <c r="K222" s="1"/>
    </row>
    <row r="223" spans="1:11" x14ac:dyDescent="0.45">
      <c r="A223" s="1"/>
      <c r="B223" s="34" t="s">
        <v>183</v>
      </c>
      <c r="C223" s="47"/>
      <c r="D223" s="47"/>
      <c r="E223" s="47"/>
      <c r="F223" s="47"/>
      <c r="G223" s="47"/>
      <c r="H223" s="47"/>
      <c r="I223" s="47"/>
      <c r="J223" s="47"/>
      <c r="K223" s="1"/>
    </row>
    <row r="224" spans="1:11" x14ac:dyDescent="0.45">
      <c r="A224" s="1"/>
      <c r="B224" s="47" t="s">
        <v>184</v>
      </c>
      <c r="C224" s="47"/>
      <c r="D224" s="47"/>
      <c r="E224" s="47"/>
      <c r="F224" s="47"/>
      <c r="G224" s="47"/>
      <c r="H224" s="47"/>
      <c r="I224" s="47"/>
      <c r="J224" s="47"/>
      <c r="K224" s="1"/>
    </row>
    <row r="225" spans="1:11" x14ac:dyDescent="0.45">
      <c r="A225" s="1"/>
      <c r="B225" s="47" t="s">
        <v>185</v>
      </c>
      <c r="C225" s="47"/>
      <c r="D225" s="47"/>
      <c r="E225" s="47"/>
      <c r="F225" s="47"/>
      <c r="G225" s="47"/>
      <c r="H225" s="47"/>
      <c r="I225" s="47"/>
      <c r="J225" s="47"/>
      <c r="K225" s="1"/>
    </row>
    <row r="226" spans="1:11" x14ac:dyDescent="0.45">
      <c r="A226" s="1"/>
      <c r="B226" s="47" t="s">
        <v>186</v>
      </c>
      <c r="C226" s="47"/>
      <c r="D226" s="47"/>
      <c r="E226" s="47"/>
      <c r="F226" s="47"/>
      <c r="G226" s="47"/>
      <c r="H226" s="47"/>
      <c r="I226" s="47"/>
      <c r="J226" s="47"/>
      <c r="K226" s="1"/>
    </row>
    <row r="227" spans="1:11" x14ac:dyDescent="0.45">
      <c r="A227" s="1"/>
      <c r="B227" s="47" t="s">
        <v>187</v>
      </c>
      <c r="C227" s="47"/>
      <c r="D227" s="47"/>
      <c r="E227" s="47"/>
      <c r="F227" s="47"/>
      <c r="G227" s="47"/>
      <c r="H227" s="47"/>
      <c r="I227" s="47"/>
      <c r="J227" s="47"/>
      <c r="K227" s="1"/>
    </row>
    <row r="228" spans="1:11" x14ac:dyDescent="0.45">
      <c r="A228" s="1"/>
      <c r="B228" s="34" t="s">
        <v>188</v>
      </c>
      <c r="C228" s="47"/>
      <c r="D228" s="47"/>
      <c r="E228" s="47"/>
      <c r="F228" s="47"/>
      <c r="G228" s="47"/>
      <c r="H228" s="47"/>
      <c r="I228" s="47"/>
      <c r="J228" s="47"/>
      <c r="K228" s="1"/>
    </row>
    <row r="229" spans="1:11" x14ac:dyDescent="0.45">
      <c r="A229" s="1"/>
      <c r="B229" s="34" t="s">
        <v>189</v>
      </c>
      <c r="C229" s="47"/>
      <c r="D229" s="47"/>
      <c r="E229" s="47"/>
      <c r="F229" s="47"/>
      <c r="G229" s="47"/>
      <c r="H229" s="47"/>
      <c r="I229" s="47"/>
      <c r="J229" s="47"/>
      <c r="K229" s="1"/>
    </row>
    <row r="230" spans="1:11" x14ac:dyDescent="0.45">
      <c r="A230" s="1"/>
      <c r="B230" s="34" t="s">
        <v>190</v>
      </c>
      <c r="C230" s="47"/>
      <c r="D230" s="47"/>
      <c r="E230" s="47"/>
      <c r="F230" s="47"/>
      <c r="G230" s="47"/>
      <c r="H230" s="47"/>
      <c r="I230" s="47"/>
      <c r="J230" s="47"/>
      <c r="K230" s="1"/>
    </row>
    <row r="231" spans="1:11" x14ac:dyDescent="0.45">
      <c r="A231" s="1"/>
      <c r="B231" s="34" t="s">
        <v>191</v>
      </c>
      <c r="C231" s="47"/>
      <c r="D231" s="47"/>
      <c r="E231" s="47"/>
      <c r="F231" s="47"/>
      <c r="G231" s="47"/>
      <c r="H231" s="47"/>
      <c r="I231" s="47"/>
      <c r="J231" s="47"/>
      <c r="K231" s="1"/>
    </row>
    <row r="232" spans="1:11" x14ac:dyDescent="0.45">
      <c r="A232" s="1"/>
      <c r="B232" s="32"/>
      <c r="C232" s="47"/>
      <c r="D232" s="47"/>
      <c r="E232" s="47"/>
      <c r="F232" s="47"/>
      <c r="G232" s="47"/>
      <c r="H232" s="47"/>
      <c r="I232" s="47"/>
      <c r="J232" s="47"/>
      <c r="K232" s="1"/>
    </row>
    <row r="233" spans="1:11" x14ac:dyDescent="0.45">
      <c r="A233" s="5"/>
      <c r="B233" s="28" t="s">
        <v>192</v>
      </c>
      <c r="C233" s="18"/>
      <c r="D233" s="18"/>
      <c r="E233" s="18"/>
      <c r="F233" s="18"/>
      <c r="G233" s="18"/>
      <c r="H233" s="18"/>
      <c r="I233" s="18"/>
      <c r="J233" s="18"/>
      <c r="K233" s="5"/>
    </row>
    <row r="234" spans="1:11" x14ac:dyDescent="0.45">
      <c r="A234" s="1"/>
      <c r="B234" s="34" t="s">
        <v>193</v>
      </c>
      <c r="C234" s="47"/>
      <c r="D234" s="47"/>
      <c r="E234" s="47"/>
      <c r="F234" s="47"/>
      <c r="G234" s="47"/>
      <c r="H234" s="47"/>
      <c r="I234" s="47"/>
      <c r="J234" s="47"/>
      <c r="K234" s="1"/>
    </row>
    <row r="235" spans="1:11" x14ac:dyDescent="0.45">
      <c r="A235" s="1"/>
      <c r="B235" s="34" t="s">
        <v>194</v>
      </c>
      <c r="C235" s="47"/>
      <c r="D235" s="47"/>
      <c r="E235" s="47"/>
      <c r="F235" s="47"/>
      <c r="G235" s="47"/>
      <c r="H235" s="47"/>
      <c r="I235" s="47"/>
      <c r="J235" s="47"/>
      <c r="K235" s="1"/>
    </row>
    <row r="236" spans="1:11" x14ac:dyDescent="0.45">
      <c r="A236" s="1"/>
      <c r="B236" s="34" t="s">
        <v>195</v>
      </c>
      <c r="C236" s="47"/>
      <c r="D236" s="47"/>
      <c r="E236" s="47"/>
      <c r="F236" s="47"/>
      <c r="G236" s="47"/>
      <c r="H236" s="47"/>
      <c r="I236" s="47"/>
      <c r="J236" s="47"/>
      <c r="K236" s="1"/>
    </row>
    <row r="237" spans="1:11" x14ac:dyDescent="0.45">
      <c r="A237" s="1"/>
      <c r="B237" s="34" t="s">
        <v>196</v>
      </c>
      <c r="C237" s="47"/>
      <c r="D237" s="47"/>
      <c r="E237" s="47"/>
      <c r="F237" s="47"/>
      <c r="G237" s="47"/>
      <c r="H237" s="47"/>
      <c r="I237" s="47"/>
      <c r="J237" s="47"/>
      <c r="K237" s="1"/>
    </row>
    <row r="238" spans="1:11" x14ac:dyDescent="0.45">
      <c r="A238" s="1"/>
      <c r="B238" s="34" t="s">
        <v>197</v>
      </c>
      <c r="C238" s="47"/>
      <c r="D238" s="47"/>
      <c r="E238" s="47"/>
      <c r="F238" s="47"/>
      <c r="G238" s="47"/>
      <c r="H238" s="47"/>
      <c r="I238" s="47"/>
      <c r="J238" s="47"/>
      <c r="K238" s="1"/>
    </row>
    <row r="239" spans="1:11" x14ac:dyDescent="0.45">
      <c r="A239" s="1"/>
      <c r="B239" s="34" t="s">
        <v>198</v>
      </c>
      <c r="C239" s="136"/>
      <c r="D239" s="47"/>
      <c r="E239" s="47"/>
      <c r="F239" s="47"/>
      <c r="G239" s="47"/>
      <c r="H239" s="47"/>
      <c r="I239" s="47"/>
      <c r="J239" s="47"/>
      <c r="K239" s="1"/>
    </row>
    <row r="240" spans="1:11" x14ac:dyDescent="0.45">
      <c r="A240" s="1"/>
      <c r="B240" s="34" t="s">
        <v>199</v>
      </c>
      <c r="C240" s="47"/>
      <c r="D240" s="47"/>
      <c r="E240" s="47"/>
      <c r="F240" s="47"/>
      <c r="G240" s="47"/>
      <c r="H240" s="47"/>
      <c r="I240" s="47"/>
      <c r="J240" s="47"/>
      <c r="K240" s="1"/>
    </row>
    <row r="241" spans="1:11" x14ac:dyDescent="0.45">
      <c r="A241" s="1"/>
      <c r="B241" s="34" t="s">
        <v>200</v>
      </c>
      <c r="C241" s="47"/>
      <c r="D241" s="47"/>
      <c r="E241" s="47"/>
      <c r="F241" s="47"/>
      <c r="G241" s="47"/>
      <c r="H241" s="47"/>
      <c r="I241" s="47"/>
      <c r="J241" s="47"/>
      <c r="K241" s="1"/>
    </row>
    <row r="242" spans="1:11" x14ac:dyDescent="0.45">
      <c r="A242" s="1"/>
      <c r="B242" s="34" t="s">
        <v>201</v>
      </c>
      <c r="C242" s="47"/>
      <c r="D242" s="47"/>
      <c r="E242" s="47"/>
      <c r="F242" s="47"/>
      <c r="G242" s="47"/>
      <c r="H242" s="47"/>
      <c r="I242" s="47"/>
      <c r="J242" s="47"/>
      <c r="K242" s="1"/>
    </row>
    <row r="243" spans="1:11" x14ac:dyDescent="0.45">
      <c r="A243" s="1"/>
      <c r="B243" s="34" t="s">
        <v>202</v>
      </c>
      <c r="C243" s="47"/>
      <c r="D243" s="47"/>
      <c r="E243" s="47"/>
      <c r="F243" s="47"/>
      <c r="G243" s="47"/>
      <c r="H243" s="47"/>
      <c r="I243" s="47"/>
      <c r="J243" s="47"/>
      <c r="K243" s="1"/>
    </row>
    <row r="244" spans="1:11" x14ac:dyDescent="0.45">
      <c r="A244" s="1"/>
      <c r="B244" s="34" t="s">
        <v>203</v>
      </c>
      <c r="C244" s="47"/>
      <c r="D244" s="47"/>
      <c r="E244" s="47"/>
      <c r="F244" s="47"/>
      <c r="G244" s="47"/>
      <c r="H244" s="47"/>
      <c r="I244" s="47"/>
      <c r="J244" s="47"/>
      <c r="K244" s="1"/>
    </row>
    <row r="245" spans="1:11" x14ac:dyDescent="0.45">
      <c r="A245" s="1"/>
      <c r="B245" s="34" t="s">
        <v>204</v>
      </c>
      <c r="C245" s="47"/>
      <c r="D245" s="47"/>
      <c r="E245" s="47"/>
      <c r="F245" s="47"/>
      <c r="G245" s="47"/>
      <c r="H245" s="47"/>
      <c r="I245" s="47"/>
      <c r="J245" s="47"/>
      <c r="K245" s="1"/>
    </row>
    <row r="246" spans="1:11" x14ac:dyDescent="0.45">
      <c r="A246" s="1"/>
      <c r="B246" s="34" t="s">
        <v>205</v>
      </c>
      <c r="C246" s="47"/>
      <c r="D246" s="47"/>
      <c r="E246" s="47"/>
      <c r="F246" s="47"/>
      <c r="G246" s="47"/>
      <c r="H246" s="47"/>
      <c r="I246" s="47"/>
      <c r="J246" s="47"/>
      <c r="K246" s="1"/>
    </row>
    <row r="247" spans="1:11" x14ac:dyDescent="0.45">
      <c r="A247" s="1"/>
      <c r="B247" s="34" t="s">
        <v>206</v>
      </c>
      <c r="C247" s="47"/>
      <c r="D247" s="47"/>
      <c r="E247" s="47"/>
      <c r="F247" s="47"/>
      <c r="G247" s="47"/>
      <c r="H247" s="47"/>
      <c r="I247" s="47"/>
      <c r="J247" s="47"/>
      <c r="K247" s="1"/>
    </row>
    <row r="248" spans="1:11" x14ac:dyDescent="0.45">
      <c r="A248" s="1"/>
      <c r="B248" s="34" t="s">
        <v>207</v>
      </c>
      <c r="C248" s="47"/>
      <c r="D248" s="47"/>
      <c r="E248" s="47"/>
      <c r="F248" s="47"/>
      <c r="G248" s="47"/>
      <c r="H248" s="47"/>
      <c r="I248" s="47"/>
      <c r="J248" s="47"/>
      <c r="K248" s="1"/>
    </row>
    <row r="249" spans="1:11" x14ac:dyDescent="0.45">
      <c r="A249" s="1"/>
      <c r="B249" s="34" t="s">
        <v>208</v>
      </c>
      <c r="C249" s="47"/>
      <c r="D249" s="47"/>
      <c r="E249" s="47"/>
      <c r="F249" s="47"/>
      <c r="G249" s="47"/>
      <c r="H249" s="47"/>
      <c r="I249" s="47"/>
      <c r="J249" s="47"/>
      <c r="K249" s="1"/>
    </row>
    <row r="250" spans="1:11" x14ac:dyDescent="0.45">
      <c r="A250" s="1"/>
      <c r="B250" s="34" t="s">
        <v>209</v>
      </c>
      <c r="C250" s="47"/>
      <c r="D250" s="47"/>
      <c r="E250" s="47"/>
      <c r="F250" s="47"/>
      <c r="G250" s="47"/>
      <c r="H250" s="47"/>
      <c r="I250" s="47"/>
      <c r="J250" s="47"/>
      <c r="K250" s="1"/>
    </row>
    <row r="251" spans="1:11" x14ac:dyDescent="0.45">
      <c r="A251" s="1"/>
      <c r="B251" s="34" t="s">
        <v>210</v>
      </c>
      <c r="C251" s="47"/>
      <c r="D251" s="47"/>
      <c r="E251" s="47"/>
      <c r="F251" s="47"/>
      <c r="G251" s="47"/>
      <c r="H251" s="47"/>
      <c r="I251" s="47"/>
      <c r="J251" s="47"/>
      <c r="K251" s="1"/>
    </row>
    <row r="252" spans="1:11" x14ac:dyDescent="0.45">
      <c r="A252" s="1"/>
      <c r="B252" s="34" t="s">
        <v>211</v>
      </c>
      <c r="C252" s="47"/>
      <c r="D252" s="47"/>
      <c r="E252" s="47"/>
      <c r="F252" s="47"/>
      <c r="G252" s="47"/>
      <c r="H252" s="47"/>
      <c r="I252" s="47"/>
      <c r="J252" s="47"/>
      <c r="K252" s="1"/>
    </row>
    <row r="253" spans="1:11" x14ac:dyDescent="0.45">
      <c r="A253" s="1"/>
      <c r="B253" s="34" t="s">
        <v>212</v>
      </c>
      <c r="C253" s="47"/>
      <c r="D253" s="47"/>
      <c r="E253" s="47"/>
      <c r="F253" s="47"/>
      <c r="G253" s="47"/>
      <c r="H253" s="47"/>
      <c r="I253" s="47"/>
      <c r="J253" s="47"/>
      <c r="K253" s="1"/>
    </row>
    <row r="254" spans="1:11" x14ac:dyDescent="0.45">
      <c r="A254" s="1"/>
      <c r="B254" s="34" t="s">
        <v>213</v>
      </c>
      <c r="C254" s="47"/>
      <c r="D254" s="47"/>
      <c r="E254" s="47"/>
      <c r="F254" s="47"/>
      <c r="G254" s="47"/>
      <c r="H254" s="47"/>
      <c r="I254" s="47"/>
      <c r="J254" s="47"/>
      <c r="K254" s="1"/>
    </row>
    <row r="255" spans="1:11" x14ac:dyDescent="0.45">
      <c r="A255" s="1"/>
      <c r="B255" s="32"/>
      <c r="C255" s="47"/>
      <c r="D255" s="47"/>
      <c r="E255" s="47"/>
      <c r="F255" s="47"/>
      <c r="G255" s="47"/>
      <c r="H255" s="47"/>
      <c r="I255" s="47"/>
      <c r="J255" s="47"/>
      <c r="K255" s="1"/>
    </row>
    <row r="256" spans="1:11" x14ac:dyDescent="0.45">
      <c r="A256" s="5"/>
      <c r="B256" s="28" t="s">
        <v>214</v>
      </c>
      <c r="C256" s="18"/>
      <c r="D256" s="18"/>
      <c r="E256" s="18"/>
      <c r="F256" s="18"/>
      <c r="G256" s="18"/>
      <c r="H256" s="18"/>
      <c r="I256" s="18"/>
      <c r="J256" s="18"/>
      <c r="K256" s="5"/>
    </row>
    <row r="257" spans="1:11" x14ac:dyDescent="0.45">
      <c r="A257" s="1"/>
      <c r="B257" s="34" t="s">
        <v>215</v>
      </c>
      <c r="C257" s="47"/>
      <c r="D257" s="47"/>
      <c r="E257" s="47"/>
      <c r="F257" s="47"/>
      <c r="G257" s="47"/>
      <c r="H257" s="47"/>
      <c r="I257" s="47"/>
      <c r="J257" s="47"/>
      <c r="K257" s="1"/>
    </row>
    <row r="258" spans="1:11" x14ac:dyDescent="0.45">
      <c r="A258" s="1"/>
      <c r="B258" s="34" t="s">
        <v>216</v>
      </c>
      <c r="C258" s="47"/>
      <c r="D258" s="47"/>
      <c r="E258" s="47"/>
      <c r="F258" s="47"/>
      <c r="G258" s="47"/>
      <c r="H258" s="47"/>
      <c r="I258" s="47"/>
      <c r="J258" s="47"/>
      <c r="K258" s="1"/>
    </row>
    <row r="259" spans="1:11" x14ac:dyDescent="0.45">
      <c r="A259" s="1"/>
      <c r="B259" s="34" t="s">
        <v>217</v>
      </c>
      <c r="C259" s="47"/>
      <c r="D259" s="47"/>
      <c r="E259" s="47"/>
      <c r="F259" s="47"/>
      <c r="G259" s="47"/>
      <c r="H259" s="47"/>
      <c r="I259" s="47"/>
      <c r="J259" s="47"/>
      <c r="K259" s="1"/>
    </row>
    <row r="260" spans="1:11" x14ac:dyDescent="0.45">
      <c r="A260" s="1"/>
      <c r="B260" s="32"/>
      <c r="C260" s="47"/>
      <c r="D260" s="47"/>
      <c r="E260" s="47"/>
      <c r="F260" s="47"/>
      <c r="G260" s="47"/>
      <c r="H260" s="47"/>
      <c r="I260" s="47"/>
      <c r="J260" s="47"/>
      <c r="K260" s="1"/>
    </row>
    <row r="261" spans="1:11" x14ac:dyDescent="0.45">
      <c r="B261" s="28" t="s">
        <v>218</v>
      </c>
      <c r="C261" s="47"/>
      <c r="D261" s="47"/>
      <c r="E261" s="47"/>
      <c r="F261" s="47"/>
      <c r="G261" s="47"/>
      <c r="H261" s="47"/>
      <c r="I261" s="47"/>
      <c r="J261" s="47"/>
    </row>
    <row r="262" spans="1:11" x14ac:dyDescent="0.45">
      <c r="B262" s="34" t="s">
        <v>219</v>
      </c>
      <c r="C262" s="47"/>
      <c r="D262" s="47"/>
      <c r="E262" s="47"/>
      <c r="F262" s="47"/>
      <c r="G262" s="47"/>
      <c r="H262" s="47"/>
      <c r="I262" s="47"/>
      <c r="J262" s="47"/>
    </row>
    <row r="263" spans="1:11" x14ac:dyDescent="0.45">
      <c r="A263" s="1"/>
      <c r="B263" s="34"/>
      <c r="C263" s="47"/>
      <c r="D263" s="47"/>
      <c r="E263" s="47"/>
      <c r="F263" s="47"/>
      <c r="G263" s="47"/>
      <c r="H263" s="47"/>
      <c r="I263" s="47"/>
      <c r="J263" s="47"/>
      <c r="K263" s="1"/>
    </row>
    <row r="264" spans="1:11" x14ac:dyDescent="0.45">
      <c r="A264" s="5"/>
      <c r="B264" s="28" t="s">
        <v>220</v>
      </c>
      <c r="C264" s="18"/>
      <c r="D264" s="18"/>
      <c r="E264" s="18"/>
      <c r="F264" s="18"/>
      <c r="G264" s="18"/>
      <c r="H264" s="18"/>
      <c r="I264" s="18"/>
      <c r="J264" s="18"/>
      <c r="K264" s="5"/>
    </row>
    <row r="265" spans="1:11" x14ac:dyDescent="0.45">
      <c r="A265" s="1"/>
      <c r="B265" s="34" t="s">
        <v>221</v>
      </c>
      <c r="C265" s="47"/>
      <c r="D265" s="47"/>
      <c r="E265" s="47"/>
      <c r="F265" s="47"/>
      <c r="G265" s="47"/>
      <c r="H265" s="47"/>
      <c r="I265" s="47"/>
      <c r="J265" s="47"/>
      <c r="K265" s="1"/>
    </row>
    <row r="266" spans="1:11" x14ac:dyDescent="0.45">
      <c r="A266" s="1"/>
      <c r="B266" s="47" t="s">
        <v>222</v>
      </c>
      <c r="C266" s="47"/>
      <c r="D266" s="47"/>
      <c r="E266" s="47"/>
      <c r="F266" s="47"/>
      <c r="G266" s="47"/>
      <c r="H266" s="47"/>
      <c r="I266" s="47"/>
      <c r="J266" s="47"/>
      <c r="K266" s="1"/>
    </row>
    <row r="267" spans="1:11" x14ac:dyDescent="0.45">
      <c r="A267" s="1"/>
      <c r="B267" s="47" t="s">
        <v>223</v>
      </c>
      <c r="C267" s="47"/>
      <c r="D267" s="47"/>
      <c r="E267" s="47"/>
      <c r="F267" s="47"/>
      <c r="G267" s="47"/>
      <c r="H267" s="47"/>
      <c r="I267" s="47"/>
      <c r="J267" s="47"/>
      <c r="K267" s="1"/>
    </row>
    <row r="268" spans="1:11" x14ac:dyDescent="0.45">
      <c r="A268" s="1"/>
      <c r="B268" s="47" t="s">
        <v>224</v>
      </c>
      <c r="C268" s="47"/>
      <c r="D268" s="47"/>
      <c r="E268" s="47"/>
      <c r="F268" s="47"/>
      <c r="G268" s="47"/>
      <c r="H268" s="47"/>
      <c r="I268" s="47"/>
      <c r="J268" s="47"/>
      <c r="K268" s="1"/>
    </row>
    <row r="269" spans="1:11" x14ac:dyDescent="0.45">
      <c r="A269" s="1"/>
      <c r="B269" s="47" t="s">
        <v>225</v>
      </c>
      <c r="C269" s="47"/>
      <c r="D269" s="47"/>
      <c r="E269" s="47"/>
      <c r="F269" s="47"/>
      <c r="G269" s="47"/>
      <c r="H269" s="47"/>
      <c r="I269" s="47"/>
      <c r="J269" s="47"/>
      <c r="K269" s="1"/>
    </row>
    <row r="270" spans="1:11" x14ac:dyDescent="0.45">
      <c r="A270" s="1"/>
      <c r="B270" s="47" t="s">
        <v>226</v>
      </c>
      <c r="C270" s="47"/>
      <c r="D270" s="47"/>
      <c r="E270" s="47"/>
      <c r="F270" s="47"/>
      <c r="G270" s="47"/>
      <c r="H270" s="47"/>
      <c r="I270" s="47"/>
      <c r="J270" s="47"/>
      <c r="K270" s="1"/>
    </row>
    <row r="271" spans="1:11" x14ac:dyDescent="0.45">
      <c r="A271" s="1"/>
      <c r="B271" s="47" t="s">
        <v>227</v>
      </c>
      <c r="C271" s="47"/>
      <c r="D271" s="47"/>
      <c r="E271" s="47"/>
      <c r="F271" s="47"/>
      <c r="G271" s="47"/>
      <c r="H271" s="47"/>
      <c r="I271" s="47"/>
      <c r="J271" s="47"/>
      <c r="K271" s="1"/>
    </row>
    <row r="272" spans="1:11" x14ac:dyDescent="0.45">
      <c r="A272" s="1"/>
      <c r="B272" s="47" t="s">
        <v>228</v>
      </c>
      <c r="C272" s="47"/>
      <c r="D272" s="47"/>
      <c r="E272" s="47"/>
      <c r="F272" s="47"/>
      <c r="G272" s="47"/>
      <c r="H272" s="47"/>
      <c r="I272" s="47"/>
      <c r="J272" s="47"/>
      <c r="K272" s="1"/>
    </row>
    <row r="273" spans="1:11" x14ac:dyDescent="0.45">
      <c r="A273" s="1"/>
      <c r="B273" s="47" t="s">
        <v>229</v>
      </c>
      <c r="C273" s="47"/>
      <c r="D273" s="47"/>
      <c r="E273" s="47"/>
      <c r="F273" s="47"/>
      <c r="G273" s="47"/>
      <c r="H273" s="47"/>
      <c r="I273" s="47"/>
      <c r="J273" s="47"/>
      <c r="K273" s="1"/>
    </row>
    <row r="274" spans="1:11" x14ac:dyDescent="0.45">
      <c r="A274" s="1"/>
      <c r="B274" s="47" t="s">
        <v>230</v>
      </c>
      <c r="C274" s="47"/>
      <c r="D274" s="47"/>
      <c r="E274" s="47"/>
      <c r="F274" s="47"/>
      <c r="G274" s="47"/>
      <c r="H274" s="47"/>
      <c r="I274" s="47"/>
      <c r="J274" s="47"/>
      <c r="K274" s="1"/>
    </row>
    <row r="275" spans="1:11" x14ac:dyDescent="0.45">
      <c r="A275" s="1"/>
      <c r="B275" s="47" t="s">
        <v>231</v>
      </c>
      <c r="C275" s="47"/>
      <c r="D275" s="47"/>
      <c r="E275" s="47"/>
      <c r="F275" s="47"/>
      <c r="G275" s="47"/>
      <c r="H275" s="47"/>
      <c r="I275" s="47"/>
      <c r="J275" s="47"/>
      <c r="K275" s="1"/>
    </row>
    <row r="276" spans="1:11" x14ac:dyDescent="0.45">
      <c r="A276" s="1"/>
      <c r="B276" s="47" t="s">
        <v>232</v>
      </c>
      <c r="C276" s="47"/>
      <c r="D276" s="47"/>
      <c r="E276" s="47"/>
      <c r="F276" s="47"/>
      <c r="G276" s="47"/>
      <c r="H276" s="47"/>
      <c r="I276" s="47"/>
      <c r="J276" s="47"/>
      <c r="K276" s="1"/>
    </row>
    <row r="277" spans="1:11" x14ac:dyDescent="0.45">
      <c r="A277" s="1"/>
      <c r="B277" s="47" t="s">
        <v>233</v>
      </c>
      <c r="C277" s="47"/>
      <c r="D277" s="47"/>
      <c r="E277" s="47"/>
      <c r="F277" s="47"/>
      <c r="G277" s="47"/>
      <c r="H277" s="47"/>
      <c r="I277" s="47"/>
      <c r="J277" s="47"/>
      <c r="K277" s="1"/>
    </row>
    <row r="278" spans="1:11" x14ac:dyDescent="0.45">
      <c r="A278" s="1"/>
      <c r="B278" s="47" t="s">
        <v>234</v>
      </c>
      <c r="C278" s="47"/>
      <c r="D278" s="47"/>
      <c r="E278" s="47"/>
      <c r="F278" s="47"/>
      <c r="G278" s="47"/>
      <c r="H278" s="47"/>
      <c r="I278" s="47"/>
      <c r="J278" s="47"/>
      <c r="K278" s="1"/>
    </row>
    <row r="279" spans="1:11" x14ac:dyDescent="0.45">
      <c r="A279" s="1"/>
      <c r="B279" s="47" t="s">
        <v>235</v>
      </c>
      <c r="C279" s="47"/>
      <c r="D279" s="47"/>
      <c r="E279" s="47"/>
      <c r="F279" s="47"/>
      <c r="G279" s="47"/>
      <c r="H279" s="47"/>
      <c r="I279" s="47"/>
      <c r="J279" s="47"/>
      <c r="K279" s="1"/>
    </row>
    <row r="280" spans="1:11" x14ac:dyDescent="0.45">
      <c r="A280" s="1"/>
      <c r="B280" s="47" t="s">
        <v>236</v>
      </c>
      <c r="C280" s="47"/>
      <c r="D280" s="47"/>
      <c r="E280" s="47"/>
      <c r="F280" s="47"/>
      <c r="G280" s="47"/>
      <c r="H280" s="47"/>
      <c r="I280" s="47"/>
      <c r="J280" s="47"/>
      <c r="K280" s="1"/>
    </row>
    <row r="281" spans="1:11" x14ac:dyDescent="0.45">
      <c r="A281" s="1"/>
      <c r="B281" s="34" t="s">
        <v>237</v>
      </c>
      <c r="C281" s="47"/>
      <c r="D281" s="47"/>
      <c r="E281" s="47"/>
      <c r="F281" s="47"/>
      <c r="G281" s="47"/>
      <c r="H281" s="47"/>
      <c r="I281" s="47"/>
      <c r="J281" s="47"/>
      <c r="K281" s="1"/>
    </row>
    <row r="282" spans="1:11" x14ac:dyDescent="0.45">
      <c r="A282" s="1"/>
      <c r="B282" s="34" t="s">
        <v>238</v>
      </c>
      <c r="C282" s="47"/>
      <c r="D282" s="47"/>
      <c r="E282" s="47"/>
      <c r="F282" s="47"/>
      <c r="G282" s="47"/>
      <c r="H282" s="47"/>
      <c r="I282" s="47"/>
      <c r="J282" s="47"/>
      <c r="K282" s="1"/>
    </row>
    <row r="283" spans="1:11" x14ac:dyDescent="0.45">
      <c r="A283" s="1"/>
      <c r="B283" s="34" t="s">
        <v>239</v>
      </c>
      <c r="C283" s="47"/>
      <c r="D283" s="47"/>
      <c r="E283" s="47"/>
      <c r="F283" s="47"/>
      <c r="G283" s="47"/>
      <c r="H283" s="47"/>
      <c r="I283" s="47"/>
      <c r="J283" s="47"/>
      <c r="K283" s="1"/>
    </row>
    <row r="284" spans="1:11" x14ac:dyDescent="0.45">
      <c r="A284" s="1"/>
      <c r="B284" s="34" t="s">
        <v>240</v>
      </c>
      <c r="C284" s="47"/>
      <c r="D284" s="47"/>
      <c r="E284" s="47"/>
      <c r="F284" s="47"/>
      <c r="G284" s="47"/>
      <c r="H284" s="47"/>
      <c r="I284" s="47"/>
      <c r="J284" s="47"/>
      <c r="K284" s="1"/>
    </row>
    <row r="285" spans="1:11" x14ac:dyDescent="0.45">
      <c r="A285" s="1"/>
      <c r="B285" s="32"/>
      <c r="C285" s="47"/>
      <c r="D285" s="47"/>
      <c r="E285" s="47"/>
      <c r="F285" s="47"/>
      <c r="G285" s="47"/>
      <c r="H285" s="47"/>
      <c r="I285" s="47"/>
      <c r="J285" s="47"/>
      <c r="K285" s="1"/>
    </row>
    <row r="286" spans="1:11" x14ac:dyDescent="0.45">
      <c r="A286" s="1"/>
      <c r="B286" s="28" t="s">
        <v>241</v>
      </c>
      <c r="C286" s="47"/>
      <c r="D286" s="47"/>
      <c r="E286" s="47"/>
      <c r="F286" s="47"/>
      <c r="G286" s="47"/>
      <c r="H286" s="47"/>
      <c r="I286" s="47"/>
      <c r="J286" s="47"/>
      <c r="K286" s="1"/>
    </row>
    <row r="287" spans="1:11" x14ac:dyDescent="0.45">
      <c r="A287" s="1"/>
      <c r="B287" s="34" t="s">
        <v>242</v>
      </c>
      <c r="C287" s="47"/>
      <c r="D287" s="47"/>
      <c r="E287" s="47"/>
      <c r="F287" s="47"/>
      <c r="G287" s="47"/>
      <c r="H287" s="47"/>
      <c r="I287" s="47"/>
      <c r="J287" s="47"/>
      <c r="K287" s="1"/>
    </row>
    <row r="288" spans="1:11" x14ac:dyDescent="0.45">
      <c r="A288" s="1"/>
      <c r="B288" s="34" t="s">
        <v>243</v>
      </c>
      <c r="C288" s="47"/>
      <c r="D288" s="47"/>
      <c r="E288" s="47"/>
      <c r="F288" s="47"/>
      <c r="G288" s="47"/>
      <c r="H288" s="47"/>
      <c r="I288" s="47"/>
      <c r="J288" s="47"/>
      <c r="K288" s="1"/>
    </row>
    <row r="289" spans="1:11" x14ac:dyDescent="0.45">
      <c r="A289" s="1"/>
      <c r="B289" s="34" t="s">
        <v>244</v>
      </c>
      <c r="C289" s="47"/>
      <c r="D289" s="47"/>
      <c r="E289" s="47"/>
      <c r="F289" s="47"/>
      <c r="G289" s="47"/>
      <c r="H289" s="47"/>
      <c r="I289" s="47"/>
      <c r="J289" s="47"/>
      <c r="K289" s="1"/>
    </row>
    <row r="290" spans="1:11" x14ac:dyDescent="0.45">
      <c r="A290" s="1"/>
      <c r="B290" s="34" t="s">
        <v>245</v>
      </c>
      <c r="C290" s="47"/>
      <c r="D290" s="47"/>
      <c r="E290" s="47"/>
      <c r="F290" s="47"/>
      <c r="G290" s="47"/>
      <c r="H290" s="47"/>
      <c r="I290" s="47"/>
      <c r="J290" s="47"/>
      <c r="K290" s="1"/>
    </row>
    <row r="291" spans="1:11" x14ac:dyDescent="0.45">
      <c r="A291" s="1"/>
      <c r="B291" s="34" t="s">
        <v>246</v>
      </c>
      <c r="C291" s="47"/>
      <c r="D291" s="47"/>
      <c r="E291" s="47"/>
      <c r="F291" s="47"/>
      <c r="G291" s="47"/>
      <c r="H291" s="47"/>
      <c r="I291" s="47"/>
      <c r="J291" s="47"/>
      <c r="K291" s="1"/>
    </row>
    <row r="292" spans="1:11" x14ac:dyDescent="0.45">
      <c r="A292" s="1"/>
      <c r="B292" s="47" t="s">
        <v>247</v>
      </c>
      <c r="C292" s="47"/>
      <c r="D292" s="47"/>
      <c r="E292" s="47"/>
      <c r="F292" s="47"/>
      <c r="G292" s="47"/>
      <c r="H292" s="47"/>
      <c r="I292" s="47"/>
      <c r="J292" s="47"/>
      <c r="K292" s="1"/>
    </row>
    <row r="293" spans="1:11" x14ac:dyDescent="0.45">
      <c r="A293" s="1"/>
      <c r="B293" s="47" t="s">
        <v>248</v>
      </c>
      <c r="C293" s="47"/>
      <c r="D293" s="47"/>
      <c r="E293" s="47"/>
      <c r="F293" s="47"/>
      <c r="G293" s="47"/>
      <c r="H293" s="47"/>
      <c r="I293" s="47"/>
      <c r="J293" s="47"/>
      <c r="K293" s="1"/>
    </row>
    <row r="294" spans="1:11" x14ac:dyDescent="0.45">
      <c r="A294" s="1"/>
      <c r="B294" s="47" t="s">
        <v>249</v>
      </c>
      <c r="C294" s="47"/>
      <c r="D294" s="47"/>
      <c r="E294" s="47"/>
      <c r="F294" s="47"/>
      <c r="G294" s="47"/>
      <c r="H294" s="47"/>
      <c r="I294" s="47"/>
      <c r="J294" s="47"/>
      <c r="K294" s="1"/>
    </row>
    <row r="295" spans="1:11" x14ac:dyDescent="0.45">
      <c r="A295" s="1"/>
      <c r="B295" s="47" t="s">
        <v>250</v>
      </c>
      <c r="C295" s="47"/>
      <c r="D295" s="47"/>
      <c r="E295" s="47"/>
      <c r="F295" s="47"/>
      <c r="G295" s="47"/>
      <c r="H295" s="47"/>
      <c r="I295" s="47"/>
      <c r="J295" s="47"/>
      <c r="K295" s="1"/>
    </row>
    <row r="296" spans="1:11" x14ac:dyDescent="0.45">
      <c r="A296" s="1"/>
      <c r="B296" s="34" t="s">
        <v>251</v>
      </c>
      <c r="C296" s="47"/>
      <c r="D296" s="47"/>
      <c r="E296" s="47"/>
      <c r="F296" s="47"/>
      <c r="G296" s="47"/>
      <c r="H296" s="47"/>
      <c r="I296" s="47"/>
      <c r="J296" s="47"/>
      <c r="K296" s="1"/>
    </row>
    <row r="297" spans="1:11" x14ac:dyDescent="0.45">
      <c r="A297" s="1"/>
      <c r="B297" s="47" t="s">
        <v>252</v>
      </c>
      <c r="C297" s="47"/>
      <c r="D297" s="47"/>
      <c r="E297" s="47"/>
      <c r="F297" s="47"/>
      <c r="G297" s="47"/>
      <c r="H297" s="47"/>
      <c r="I297" s="47"/>
      <c r="J297" s="47"/>
      <c r="K297" s="1"/>
    </row>
    <row r="298" spans="1:11" x14ac:dyDescent="0.45">
      <c r="A298" s="1"/>
      <c r="B298" s="32"/>
      <c r="C298" s="47"/>
      <c r="D298" s="47"/>
      <c r="E298" s="47"/>
      <c r="F298" s="47"/>
      <c r="G298" s="47"/>
      <c r="H298" s="47"/>
      <c r="I298" s="47"/>
      <c r="J298" s="47"/>
      <c r="K298" s="1"/>
    </row>
    <row r="299" spans="1:11" x14ac:dyDescent="0.45">
      <c r="A299" s="5"/>
      <c r="B299" s="28" t="s">
        <v>253</v>
      </c>
      <c r="C299" s="18"/>
      <c r="D299" s="18"/>
      <c r="E299" s="18"/>
      <c r="F299" s="18"/>
      <c r="G299" s="18"/>
      <c r="H299" s="18"/>
      <c r="I299" s="18"/>
      <c r="J299" s="18"/>
      <c r="K299" s="5"/>
    </row>
    <row r="300" spans="1:11" x14ac:dyDescent="0.45">
      <c r="A300" s="1"/>
      <c r="B300" s="34" t="s">
        <v>254</v>
      </c>
      <c r="C300" s="47"/>
      <c r="D300" s="47"/>
      <c r="E300" s="47"/>
      <c r="F300" s="47"/>
      <c r="G300" s="47"/>
      <c r="H300" s="47"/>
      <c r="I300" s="47"/>
      <c r="J300" s="47"/>
      <c r="K300" s="1"/>
    </row>
    <row r="301" spans="1:11" x14ac:dyDescent="0.45">
      <c r="A301" s="1"/>
      <c r="B301" s="34" t="s">
        <v>255</v>
      </c>
      <c r="C301" s="47"/>
      <c r="D301" s="47"/>
      <c r="E301" s="47"/>
      <c r="F301" s="47"/>
      <c r="G301" s="47"/>
      <c r="H301" s="47"/>
      <c r="I301" s="47"/>
      <c r="J301" s="47"/>
      <c r="K301" s="1"/>
    </row>
    <row r="302" spans="1:11" x14ac:dyDescent="0.45">
      <c r="A302" s="1"/>
      <c r="B302" s="34" t="s">
        <v>256</v>
      </c>
      <c r="C302" s="47"/>
      <c r="D302" s="47"/>
      <c r="E302" s="47"/>
      <c r="F302" s="47"/>
      <c r="G302" s="47"/>
      <c r="H302" s="47"/>
      <c r="I302" s="47"/>
      <c r="J302" s="47"/>
      <c r="K302" s="1"/>
    </row>
    <row r="303" spans="1:11" x14ac:dyDescent="0.45">
      <c r="A303" s="1"/>
      <c r="B303" s="34" t="s">
        <v>257</v>
      </c>
      <c r="C303" s="47"/>
      <c r="D303" s="47"/>
      <c r="E303" s="47"/>
      <c r="F303" s="47"/>
      <c r="G303" s="47"/>
      <c r="H303" s="47"/>
      <c r="I303" s="47"/>
      <c r="J303" s="47"/>
      <c r="K303" s="1"/>
    </row>
    <row r="304" spans="1:11" x14ac:dyDescent="0.45">
      <c r="A304" s="1"/>
      <c r="B304" s="32"/>
      <c r="C304" s="47"/>
      <c r="D304" s="47"/>
      <c r="E304" s="47"/>
      <c r="F304" s="47"/>
      <c r="G304" s="47"/>
      <c r="H304" s="47"/>
      <c r="I304" s="47"/>
      <c r="J304" s="47"/>
      <c r="K304" s="1"/>
    </row>
    <row r="305" spans="1:13" x14ac:dyDescent="0.45">
      <c r="A305" s="5"/>
      <c r="B305" s="28" t="s">
        <v>258</v>
      </c>
      <c r="C305" s="18"/>
      <c r="D305" s="18"/>
      <c r="E305" s="18"/>
      <c r="F305" s="18"/>
      <c r="G305" s="18"/>
      <c r="H305" s="18"/>
      <c r="I305" s="18"/>
      <c r="J305" s="18"/>
      <c r="K305" s="5"/>
      <c r="M305" s="114" t="s">
        <v>259</v>
      </c>
    </row>
    <row r="306" spans="1:13" x14ac:dyDescent="0.45">
      <c r="A306" s="1"/>
      <c r="B306" s="34" t="s">
        <v>260</v>
      </c>
      <c r="C306" s="47"/>
      <c r="D306" s="47"/>
      <c r="E306" s="47"/>
      <c r="F306" s="47"/>
      <c r="G306" s="47"/>
      <c r="H306" s="47"/>
      <c r="I306" s="47"/>
      <c r="J306" s="47"/>
      <c r="K306" s="1"/>
      <c r="L306" s="34"/>
      <c r="M306" s="34" t="s">
        <v>261</v>
      </c>
    </row>
    <row r="307" spans="1:13" x14ac:dyDescent="0.45">
      <c r="A307" s="1"/>
      <c r="B307" s="34" t="s">
        <v>262</v>
      </c>
      <c r="C307" s="47"/>
      <c r="D307" s="47"/>
      <c r="E307" s="47"/>
      <c r="F307" s="47"/>
      <c r="G307" s="47"/>
      <c r="H307" s="47"/>
      <c r="I307" s="47"/>
      <c r="J307" s="47"/>
      <c r="K307" s="1"/>
      <c r="L307" s="114" t="s">
        <v>19</v>
      </c>
      <c r="M307" s="34" t="s">
        <v>260</v>
      </c>
    </row>
    <row r="308" spans="1:13" x14ac:dyDescent="0.45">
      <c r="A308" s="1"/>
      <c r="B308" s="34" t="s">
        <v>263</v>
      </c>
      <c r="C308" s="47"/>
      <c r="D308" s="47"/>
      <c r="E308" s="47"/>
      <c r="F308" s="47"/>
      <c r="G308" s="47"/>
      <c r="H308" s="47"/>
      <c r="I308" s="47"/>
      <c r="J308" s="47"/>
      <c r="K308" s="1"/>
      <c r="M308" s="114" t="s">
        <v>264</v>
      </c>
    </row>
    <row r="309" spans="1:13" x14ac:dyDescent="0.45">
      <c r="A309" s="1"/>
      <c r="B309" s="32"/>
      <c r="C309" s="47"/>
      <c r="D309" s="47"/>
      <c r="E309" s="47"/>
      <c r="F309" s="47"/>
      <c r="G309" s="47"/>
      <c r="H309" s="47"/>
      <c r="I309" s="47"/>
      <c r="J309" s="47"/>
      <c r="K309" s="1"/>
    </row>
    <row r="310" spans="1:13" x14ac:dyDescent="0.45">
      <c r="A310" s="5"/>
      <c r="B310" s="28" t="s">
        <v>265</v>
      </c>
      <c r="C310" s="18"/>
      <c r="D310" s="18"/>
      <c r="E310" s="18"/>
      <c r="F310" s="18"/>
      <c r="G310" s="18"/>
      <c r="H310" s="18"/>
      <c r="I310" s="18"/>
      <c r="J310" s="18"/>
      <c r="K310" s="5"/>
    </row>
    <row r="311" spans="1:13" x14ac:dyDescent="0.45">
      <c r="A311" s="1"/>
      <c r="B311" s="34" t="s">
        <v>266</v>
      </c>
      <c r="C311" s="47"/>
      <c r="D311" s="47"/>
      <c r="E311" s="47"/>
      <c r="F311" s="47"/>
      <c r="G311" s="47"/>
      <c r="H311" s="47"/>
      <c r="I311" s="47"/>
      <c r="J311" s="47"/>
      <c r="K311" s="1"/>
    </row>
    <row r="312" spans="1:13" x14ac:dyDescent="0.45">
      <c r="A312" s="1"/>
      <c r="B312" s="34" t="s">
        <v>267</v>
      </c>
      <c r="C312" s="47"/>
      <c r="D312" s="47"/>
      <c r="E312" s="47"/>
      <c r="F312" s="47"/>
      <c r="G312" s="47"/>
      <c r="H312" s="47"/>
      <c r="I312" s="47"/>
      <c r="J312" s="47"/>
      <c r="K312" s="1"/>
    </row>
    <row r="313" spans="1:13" x14ac:dyDescent="0.45">
      <c r="A313" s="1"/>
      <c r="B313" s="34" t="s">
        <v>268</v>
      </c>
      <c r="C313" s="47"/>
      <c r="D313" s="47"/>
      <c r="E313" s="47"/>
      <c r="F313" s="47"/>
      <c r="G313" s="47"/>
      <c r="H313" s="47"/>
      <c r="I313" s="47"/>
      <c r="J313" s="47"/>
      <c r="K313" s="1"/>
    </row>
    <row r="314" spans="1:13" x14ac:dyDescent="0.45">
      <c r="A314" s="1"/>
      <c r="B314" s="34" t="s">
        <v>269</v>
      </c>
      <c r="C314" s="47"/>
      <c r="D314" s="47"/>
      <c r="E314" s="47"/>
      <c r="F314" s="47"/>
      <c r="G314" s="47"/>
      <c r="H314" s="47"/>
      <c r="I314" s="47"/>
      <c r="J314" s="47"/>
      <c r="K314" s="1"/>
    </row>
    <row r="315" spans="1:13" x14ac:dyDescent="0.45">
      <c r="A315" s="1"/>
      <c r="B315" s="34" t="s">
        <v>270</v>
      </c>
      <c r="C315" s="47"/>
      <c r="D315" s="47"/>
      <c r="E315" s="47"/>
      <c r="F315" s="47"/>
      <c r="G315" s="47"/>
      <c r="H315" s="47"/>
      <c r="I315" s="47"/>
      <c r="J315" s="47"/>
      <c r="K315" s="1"/>
    </row>
    <row r="316" spans="1:13" x14ac:dyDescent="0.45">
      <c r="A316" s="1"/>
      <c r="B316" s="34" t="s">
        <v>271</v>
      </c>
      <c r="C316" s="47"/>
      <c r="D316" s="47"/>
      <c r="E316" s="47"/>
      <c r="F316" s="47"/>
      <c r="G316" s="47"/>
      <c r="H316" s="47"/>
      <c r="I316" s="47"/>
      <c r="J316" s="47"/>
      <c r="K316" s="1"/>
    </row>
    <row r="317" spans="1:13" x14ac:dyDescent="0.45">
      <c r="A317" s="1"/>
      <c r="B317" s="34" t="s">
        <v>272</v>
      </c>
      <c r="C317" s="47"/>
      <c r="D317" s="47"/>
      <c r="E317" s="47"/>
      <c r="F317" s="47"/>
      <c r="G317" s="47"/>
      <c r="H317" s="47"/>
      <c r="I317" s="47"/>
      <c r="J317" s="47"/>
      <c r="K317" s="1"/>
    </row>
    <row r="318" spans="1:13" x14ac:dyDescent="0.45">
      <c r="A318" s="1"/>
      <c r="B318" s="34" t="s">
        <v>273</v>
      </c>
      <c r="C318" s="47"/>
      <c r="D318" s="47"/>
      <c r="E318" s="47"/>
      <c r="F318" s="47"/>
      <c r="G318" s="47"/>
      <c r="H318" s="47"/>
      <c r="I318" s="47"/>
      <c r="J318" s="47"/>
      <c r="K318" s="1"/>
    </row>
    <row r="319" spans="1:13" x14ac:dyDescent="0.45">
      <c r="A319" s="1"/>
      <c r="B319" s="32"/>
      <c r="C319" s="47"/>
      <c r="D319" s="47"/>
      <c r="E319" s="47"/>
      <c r="F319" s="47"/>
      <c r="G319" s="47"/>
      <c r="H319" s="47"/>
      <c r="I319" s="47"/>
      <c r="J319" s="47"/>
      <c r="K319" s="1"/>
    </row>
    <row r="320" spans="1:13" x14ac:dyDescent="0.45">
      <c r="A320" s="5"/>
      <c r="B320" s="28" t="s">
        <v>274</v>
      </c>
      <c r="C320" s="18"/>
      <c r="D320" s="18"/>
      <c r="E320" s="18"/>
      <c r="F320" s="18"/>
      <c r="G320" s="18"/>
      <c r="H320" s="18"/>
      <c r="I320" s="18"/>
      <c r="J320" s="18"/>
      <c r="K320" s="5"/>
    </row>
    <row r="321" spans="1:11" x14ac:dyDescent="0.45">
      <c r="A321" s="1"/>
      <c r="B321" s="34" t="s">
        <v>275</v>
      </c>
      <c r="C321" s="47"/>
      <c r="D321" s="47"/>
      <c r="E321" s="47"/>
      <c r="F321" s="47"/>
      <c r="G321" s="47"/>
      <c r="H321" s="47"/>
      <c r="I321" s="47"/>
      <c r="J321" s="47"/>
      <c r="K321" s="1"/>
    </row>
    <row r="322" spans="1:11" x14ac:dyDescent="0.45">
      <c r="A322" s="1"/>
      <c r="B322" s="34" t="s">
        <v>276</v>
      </c>
      <c r="C322" s="47"/>
      <c r="D322" s="47"/>
      <c r="E322" s="47"/>
      <c r="F322" s="47"/>
      <c r="G322" s="47"/>
      <c r="H322" s="47"/>
      <c r="I322" s="47"/>
      <c r="J322" s="47"/>
      <c r="K322" s="1"/>
    </row>
    <row r="323" spans="1:11" x14ac:dyDescent="0.45">
      <c r="A323" s="1"/>
      <c r="B323" s="34" t="s">
        <v>277</v>
      </c>
      <c r="C323" s="47"/>
      <c r="D323" s="47"/>
      <c r="E323" s="47"/>
      <c r="F323" s="47"/>
      <c r="G323" s="47"/>
      <c r="H323" s="47"/>
      <c r="I323" s="47"/>
      <c r="J323" s="47"/>
      <c r="K323" s="1"/>
    </row>
    <row r="324" spans="1:11" x14ac:dyDescent="0.45">
      <c r="A324" s="1"/>
      <c r="B324" s="34" t="s">
        <v>278</v>
      </c>
      <c r="C324" s="47"/>
      <c r="D324" s="47"/>
      <c r="E324" s="47"/>
      <c r="F324" s="47"/>
      <c r="G324" s="47"/>
      <c r="H324" s="47"/>
      <c r="I324" s="47"/>
      <c r="J324" s="47"/>
      <c r="K324" s="1"/>
    </row>
    <row r="325" spans="1:11" x14ac:dyDescent="0.45">
      <c r="A325" s="1"/>
      <c r="B325" s="34" t="s">
        <v>279</v>
      </c>
      <c r="C325" s="47"/>
      <c r="D325" s="47"/>
      <c r="E325" s="47"/>
      <c r="F325" s="47"/>
      <c r="G325" s="47"/>
      <c r="H325" s="47"/>
      <c r="I325" s="47"/>
      <c r="J325" s="47"/>
      <c r="K325" s="1"/>
    </row>
    <row r="326" spans="1:11" x14ac:dyDescent="0.45">
      <c r="A326" s="1"/>
      <c r="B326" s="34" t="s">
        <v>280</v>
      </c>
      <c r="C326" s="47"/>
      <c r="D326" s="47"/>
      <c r="E326" s="47"/>
      <c r="F326" s="47"/>
      <c r="G326" s="47"/>
      <c r="H326" s="47"/>
      <c r="I326" s="47"/>
      <c r="J326" s="47"/>
      <c r="K326" s="1"/>
    </row>
    <row r="327" spans="1:11" x14ac:dyDescent="0.45">
      <c r="A327" s="1"/>
      <c r="B327" s="32"/>
      <c r="C327" s="32"/>
      <c r="D327" s="32"/>
      <c r="E327" s="32"/>
      <c r="F327" s="32"/>
      <c r="G327" s="32"/>
      <c r="H327" s="32"/>
      <c r="I327" s="32"/>
      <c r="J327" s="32"/>
      <c r="K327" s="1"/>
    </row>
    <row r="328" spans="1:11" x14ac:dyDescent="0.45">
      <c r="A328" s="1"/>
      <c r="B328" s="32"/>
      <c r="C328" s="32"/>
      <c r="D328" s="32"/>
      <c r="E328" s="32"/>
      <c r="F328" s="32"/>
      <c r="G328" s="32"/>
      <c r="H328" s="32"/>
      <c r="I328" s="32"/>
      <c r="J328" s="32"/>
      <c r="K328" s="1"/>
    </row>
    <row r="329" spans="1:11" x14ac:dyDescent="0.45">
      <c r="A329" s="1"/>
      <c r="C329" s="149">
        <v>46143</v>
      </c>
      <c r="D329" s="146"/>
      <c r="E329" s="146"/>
      <c r="F329" s="146"/>
      <c r="G329" s="146"/>
      <c r="H329" s="146"/>
      <c r="I329" s="139"/>
      <c r="J329" s="47"/>
      <c r="K329" s="1"/>
    </row>
    <row r="330" spans="1:11" x14ac:dyDescent="0.45">
      <c r="A330" s="1"/>
      <c r="B330" s="32"/>
      <c r="C330" s="47"/>
      <c r="D330" s="47"/>
      <c r="E330" s="47"/>
      <c r="F330" s="47"/>
      <c r="G330" s="47"/>
      <c r="H330" s="47"/>
      <c r="I330" s="47"/>
      <c r="J330" s="47"/>
      <c r="K330" s="1"/>
    </row>
    <row r="331" spans="1:11" x14ac:dyDescent="0.45">
      <c r="A331" s="1"/>
      <c r="B331" s="32"/>
      <c r="C331" s="47"/>
      <c r="D331" s="47"/>
      <c r="E331" s="47"/>
      <c r="F331" s="47"/>
      <c r="G331" s="47"/>
      <c r="H331" s="47"/>
      <c r="I331" s="47"/>
      <c r="J331" s="47"/>
      <c r="K331" s="1"/>
    </row>
    <row r="332" spans="1:11" x14ac:dyDescent="0.45">
      <c r="A332" s="1"/>
      <c r="B332" s="135" t="s">
        <v>30</v>
      </c>
      <c r="C332" s="135" t="s">
        <v>31</v>
      </c>
      <c r="D332" s="44" t="s">
        <v>32</v>
      </c>
      <c r="E332" s="44"/>
      <c r="F332" s="44"/>
      <c r="G332" s="44"/>
      <c r="H332" s="25"/>
      <c r="I332" s="25"/>
      <c r="J332" s="47"/>
      <c r="K332" s="1"/>
    </row>
    <row r="333" spans="1:11" x14ac:dyDescent="0.45">
      <c r="A333" s="1"/>
      <c r="B333" s="135"/>
      <c r="C333" s="135" t="s">
        <v>33</v>
      </c>
      <c r="D333" s="44" t="s">
        <v>34</v>
      </c>
      <c r="E333" s="44"/>
      <c r="F333" s="44"/>
      <c r="G333" s="44"/>
      <c r="H333" s="25"/>
      <c r="I333" s="25"/>
      <c r="J333" s="47"/>
      <c r="K333" s="1"/>
    </row>
    <row r="334" spans="1:11" x14ac:dyDescent="0.45">
      <c r="A334" s="1"/>
      <c r="B334" s="135"/>
      <c r="C334" s="135" t="s">
        <v>35</v>
      </c>
      <c r="D334" s="44" t="s">
        <v>36</v>
      </c>
      <c r="E334" s="44"/>
      <c r="F334" s="44"/>
      <c r="G334" s="44"/>
      <c r="H334" s="135" t="s">
        <v>37</v>
      </c>
      <c r="I334" s="15"/>
      <c r="J334" s="47"/>
      <c r="K334" s="1"/>
    </row>
    <row r="335" spans="1:11" x14ac:dyDescent="0.45">
      <c r="B335" s="135"/>
      <c r="C335" s="135"/>
      <c r="D335" s="135"/>
      <c r="E335" s="135"/>
      <c r="F335" s="135"/>
      <c r="G335" s="135"/>
      <c r="H335" s="135"/>
      <c r="I335" s="135"/>
      <c r="J335" s="47"/>
    </row>
    <row r="336" spans="1:11" x14ac:dyDescent="0.45">
      <c r="B336" s="135"/>
      <c r="C336" s="135"/>
      <c r="D336" s="135"/>
      <c r="E336" s="135"/>
      <c r="F336" s="135"/>
      <c r="G336" s="135"/>
      <c r="H336" s="135"/>
      <c r="I336" s="135"/>
      <c r="J336" s="47"/>
    </row>
    <row r="337" spans="2:12" x14ac:dyDescent="0.45">
      <c r="B337" s="135" t="s">
        <v>38</v>
      </c>
      <c r="C337" s="135" t="s">
        <v>31</v>
      </c>
      <c r="D337" s="44" t="s">
        <v>39</v>
      </c>
      <c r="E337" s="44"/>
      <c r="F337" s="44"/>
      <c r="G337" s="44"/>
      <c r="H337" s="6"/>
      <c r="I337" s="6"/>
      <c r="J337" s="47"/>
      <c r="L337" s="114" t="s">
        <v>19</v>
      </c>
    </row>
    <row r="338" spans="2:12" x14ac:dyDescent="0.45">
      <c r="B338" s="135"/>
      <c r="C338" s="135" t="s">
        <v>33</v>
      </c>
      <c r="D338" s="44" t="s">
        <v>15</v>
      </c>
      <c r="E338" s="44"/>
      <c r="F338" s="44"/>
      <c r="G338" s="44"/>
      <c r="H338" s="6"/>
      <c r="I338" s="6"/>
      <c r="J338" s="47"/>
      <c r="L338" s="114" t="s">
        <v>19</v>
      </c>
    </row>
    <row r="339" spans="2:12" x14ac:dyDescent="0.45">
      <c r="B339" s="135"/>
      <c r="C339" s="135" t="s">
        <v>35</v>
      </c>
      <c r="D339" s="44" t="s">
        <v>14</v>
      </c>
      <c r="E339" s="44"/>
      <c r="F339" s="44"/>
      <c r="G339" s="44"/>
      <c r="H339" s="135" t="s">
        <v>37</v>
      </c>
      <c r="I339" s="15"/>
      <c r="J339" s="32"/>
      <c r="L339" s="114" t="s">
        <v>19</v>
      </c>
    </row>
    <row r="340" spans="2:12" x14ac:dyDescent="0.45">
      <c r="B340" s="135"/>
      <c r="C340" s="135"/>
      <c r="D340" s="135"/>
      <c r="E340" s="135"/>
      <c r="F340" s="7"/>
      <c r="G340" s="7"/>
      <c r="H340" s="7"/>
      <c r="I340" s="7"/>
    </row>
  </sheetData>
  <mergeCells count="5">
    <mergeCell ref="A6:K6"/>
    <mergeCell ref="A34:K34"/>
    <mergeCell ref="A35:K35"/>
    <mergeCell ref="A33:K33"/>
    <mergeCell ref="C329:H329"/>
  </mergeCells>
  <phoneticPr fontId="4" type="noConversion"/>
  <pageMargins left="0.7" right="0.7" top="0.75" bottom="0.75" header="0.3" footer="0.3"/>
  <pageSetup paperSize="9" scale="69" fitToHeight="0" orientation="portrait" r:id="rId1"/>
  <rowBreaks count="1" manualBreakCount="1">
    <brk id="313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149"/>
  <sheetViews>
    <sheetView showGridLines="0" view="pageBreakPreview" topLeftCell="A126" zoomScaleNormal="100" zoomScaleSheetLayoutView="100" workbookViewId="0">
      <selection activeCell="G92" sqref="G92"/>
    </sheetView>
  </sheetViews>
  <sheetFormatPr defaultRowHeight="17" x14ac:dyDescent="0.45"/>
  <cols>
    <col min="1" max="1" width="2.6640625" style="15" customWidth="1"/>
    <col min="2" max="2" width="10.08203125" style="15" customWidth="1"/>
    <col min="3" max="3" width="12.4140625" style="15" customWidth="1"/>
    <col min="4" max="4" width="9.6640625" style="15" customWidth="1"/>
    <col min="5" max="5" width="12.1640625" style="15" customWidth="1"/>
    <col min="6" max="7" width="14.6640625" style="15" customWidth="1"/>
    <col min="8" max="8" width="11.9140625" style="15" customWidth="1"/>
    <col min="9" max="12" width="10.08203125" style="15" customWidth="1"/>
    <col min="13" max="13" width="2.6640625" style="15" customWidth="1"/>
    <col min="14" max="14" width="13.1640625" style="137" bestFit="1" customWidth="1"/>
    <col min="16" max="16" width="12.1640625" style="137" bestFit="1" customWidth="1"/>
  </cols>
  <sheetData>
    <row r="1" spans="1:14" ht="20.399999999999999" customHeight="1" x14ac:dyDescent="0.45">
      <c r="A1" s="131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4" ht="20.399999999999999" customHeight="1" x14ac:dyDescent="0.45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</row>
    <row r="3" spans="1:14" ht="20.399999999999999" customHeight="1" x14ac:dyDescent="0.45">
      <c r="B3" s="199" t="s">
        <v>282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</row>
    <row r="4" spans="1:14" ht="20.399999999999999" customHeight="1" x14ac:dyDescent="0.45">
      <c r="B4" s="131"/>
      <c r="C4" s="131"/>
      <c r="D4" s="131"/>
      <c r="E4" s="131"/>
      <c r="F4" s="131"/>
      <c r="G4" s="131"/>
      <c r="H4" s="131"/>
      <c r="I4" s="131"/>
      <c r="J4" s="131"/>
    </row>
    <row r="5" spans="1:14" ht="20.399999999999999" customHeight="1" x14ac:dyDescent="0.45">
      <c r="B5" s="131"/>
      <c r="C5" s="131"/>
      <c r="D5" s="131"/>
      <c r="E5" s="131"/>
      <c r="F5" s="131"/>
      <c r="G5" s="131"/>
      <c r="H5" s="131"/>
      <c r="I5" s="131"/>
      <c r="J5" s="131"/>
    </row>
    <row r="6" spans="1:14" x14ac:dyDescent="0.45">
      <c r="B6" s="148" t="s">
        <v>419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N6" s="114" t="s">
        <v>19</v>
      </c>
    </row>
    <row r="7" spans="1:14" x14ac:dyDescent="0.45">
      <c r="B7" s="218" t="s">
        <v>283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</row>
    <row r="8" spans="1:14" ht="20.399999999999999" customHeight="1" x14ac:dyDescent="0.45">
      <c r="B8" s="131"/>
      <c r="C8" s="131"/>
      <c r="D8" s="131"/>
      <c r="E8" s="131"/>
      <c r="F8" s="131"/>
      <c r="G8" s="131"/>
      <c r="H8" s="131"/>
      <c r="I8" s="131"/>
      <c r="J8" s="131"/>
    </row>
    <row r="9" spans="1:14" ht="20.399999999999999" customHeight="1" x14ac:dyDescent="0.45">
      <c r="B9" s="131"/>
      <c r="C9" s="131"/>
      <c r="D9" s="131"/>
      <c r="E9" s="131"/>
      <c r="F9" s="131"/>
      <c r="G9" s="131"/>
      <c r="H9" s="131"/>
      <c r="I9" s="131"/>
      <c r="J9" s="131"/>
    </row>
    <row r="10" spans="1:14" ht="20.399999999999999" customHeight="1" x14ac:dyDescent="0.45">
      <c r="B10" s="131"/>
      <c r="C10" s="131"/>
      <c r="D10" s="131"/>
      <c r="E10" s="131"/>
      <c r="F10" s="131"/>
      <c r="G10" s="131"/>
      <c r="H10" s="131"/>
      <c r="I10" s="131"/>
      <c r="J10" s="131"/>
    </row>
    <row r="11" spans="1:14" x14ac:dyDescent="0.45">
      <c r="B11" s="28" t="s">
        <v>40</v>
      </c>
      <c r="C11" s="28"/>
      <c r="D11" s="28"/>
      <c r="E11" s="28"/>
      <c r="F11" s="28"/>
      <c r="G11" s="28"/>
      <c r="H11" s="28"/>
      <c r="I11" s="28"/>
      <c r="J11" s="28"/>
    </row>
    <row r="12" spans="1:14" x14ac:dyDescent="0.45">
      <c r="A12" s="13"/>
      <c r="B12" s="34" t="s">
        <v>284</v>
      </c>
      <c r="C12" s="34"/>
      <c r="D12" s="34"/>
      <c r="E12" s="34"/>
      <c r="F12" s="34"/>
      <c r="G12" s="34"/>
      <c r="H12" s="34"/>
      <c r="I12" s="34"/>
      <c r="J12" s="34"/>
      <c r="M12" s="13"/>
    </row>
    <row r="13" spans="1:14" x14ac:dyDescent="0.45">
      <c r="A13" s="13"/>
      <c r="B13" s="34" t="s">
        <v>285</v>
      </c>
      <c r="C13" s="34"/>
      <c r="D13" s="34"/>
      <c r="E13" s="34"/>
      <c r="F13" s="34"/>
      <c r="G13" s="34"/>
      <c r="H13" s="34"/>
      <c r="I13" s="34"/>
      <c r="J13" s="34"/>
      <c r="M13" s="13"/>
    </row>
    <row r="14" spans="1:14" x14ac:dyDescent="0.45">
      <c r="A14" s="13"/>
      <c r="B14" s="34" t="s">
        <v>286</v>
      </c>
      <c r="C14" s="34"/>
      <c r="D14" s="34"/>
      <c r="E14" s="34"/>
      <c r="F14" s="34"/>
      <c r="G14" s="34"/>
      <c r="H14" s="34"/>
      <c r="I14" s="34"/>
      <c r="J14" s="34"/>
      <c r="M14" s="13"/>
    </row>
    <row r="15" spans="1:14" x14ac:dyDescent="0.45">
      <c r="A15" s="13"/>
      <c r="B15" s="34"/>
      <c r="C15" s="34"/>
      <c r="D15" s="34"/>
      <c r="E15" s="34"/>
      <c r="F15" s="34"/>
      <c r="G15" s="34"/>
      <c r="H15" s="34"/>
      <c r="I15" s="34"/>
      <c r="J15" s="34"/>
      <c r="M15" s="13"/>
    </row>
    <row r="16" spans="1:14" x14ac:dyDescent="0.45">
      <c r="A16" s="13"/>
      <c r="B16" s="28" t="s">
        <v>287</v>
      </c>
      <c r="C16" s="34"/>
      <c r="D16" s="8"/>
      <c r="E16" s="8"/>
      <c r="F16" s="8"/>
      <c r="G16" s="8"/>
      <c r="H16" s="8"/>
      <c r="I16" s="8"/>
      <c r="J16" s="34"/>
      <c r="M16" s="13"/>
    </row>
    <row r="17" spans="1:13" x14ac:dyDescent="0.45">
      <c r="A17" s="13"/>
      <c r="B17" s="9" t="s">
        <v>288</v>
      </c>
      <c r="C17" s="10"/>
      <c r="D17" s="10"/>
      <c r="E17" s="10"/>
      <c r="F17" s="10"/>
      <c r="G17" s="10"/>
      <c r="H17" s="10"/>
      <c r="I17" s="10"/>
      <c r="J17" s="9"/>
      <c r="K17" s="27"/>
      <c r="L17" s="27"/>
      <c r="M17" s="13"/>
    </row>
    <row r="18" spans="1:13" x14ac:dyDescent="0.45">
      <c r="A18" s="13"/>
      <c r="B18" s="204" t="s">
        <v>289</v>
      </c>
      <c r="C18" s="158"/>
      <c r="D18" s="170" t="s">
        <v>290</v>
      </c>
      <c r="E18" s="151"/>
      <c r="F18" s="151"/>
      <c r="G18" s="151"/>
      <c r="H18" s="151"/>
      <c r="I18" s="152"/>
      <c r="J18" s="221" t="s">
        <v>291</v>
      </c>
      <c r="K18" s="179"/>
      <c r="L18" s="179"/>
      <c r="M18" s="13"/>
    </row>
    <row r="19" spans="1:13" ht="51" customHeight="1" x14ac:dyDescent="0.45">
      <c r="A19" s="13"/>
      <c r="B19" s="222" t="s">
        <v>292</v>
      </c>
      <c r="C19" s="211"/>
      <c r="D19" s="209" t="s">
        <v>293</v>
      </c>
      <c r="E19" s="210"/>
      <c r="F19" s="210"/>
      <c r="G19" s="210"/>
      <c r="H19" s="210"/>
      <c r="I19" s="211"/>
      <c r="J19" s="224" t="s">
        <v>294</v>
      </c>
      <c r="K19" s="210"/>
      <c r="L19" s="210"/>
      <c r="M19" s="13"/>
    </row>
    <row r="20" spans="1:13" ht="51" customHeight="1" x14ac:dyDescent="0.45">
      <c r="A20" s="13"/>
      <c r="B20" s="225" t="s">
        <v>295</v>
      </c>
      <c r="C20" s="178"/>
      <c r="D20" s="176" t="s">
        <v>296</v>
      </c>
      <c r="E20" s="177"/>
      <c r="F20" s="177"/>
      <c r="G20" s="177"/>
      <c r="H20" s="177"/>
      <c r="I20" s="178"/>
      <c r="J20" s="228" t="s">
        <v>297</v>
      </c>
      <c r="K20" s="177"/>
      <c r="L20" s="177"/>
      <c r="M20" s="13"/>
    </row>
    <row r="21" spans="1:13" x14ac:dyDescent="0.45">
      <c r="A21" s="13"/>
      <c r="B21" s="8"/>
      <c r="C21" s="8"/>
      <c r="D21" s="8"/>
      <c r="E21" s="8"/>
      <c r="F21" s="8"/>
      <c r="G21" s="8"/>
      <c r="H21" s="8"/>
      <c r="I21" s="8"/>
      <c r="J21" s="34"/>
      <c r="K21" s="13"/>
      <c r="L21" s="13"/>
      <c r="M21" s="13"/>
    </row>
    <row r="22" spans="1:13" x14ac:dyDescent="0.45">
      <c r="A22" s="13"/>
      <c r="B22" s="34" t="s">
        <v>298</v>
      </c>
      <c r="C22" s="34"/>
      <c r="D22" s="34"/>
      <c r="E22" s="34"/>
      <c r="F22" s="34"/>
      <c r="G22" s="34"/>
      <c r="H22" s="34"/>
      <c r="I22" s="34"/>
      <c r="J22" s="34"/>
      <c r="K22" s="13"/>
      <c r="L22" s="13"/>
      <c r="M22" s="13"/>
    </row>
    <row r="23" spans="1:13" x14ac:dyDescent="0.45">
      <c r="A23" s="13"/>
      <c r="B23" s="34" t="s">
        <v>299</v>
      </c>
      <c r="C23" s="34"/>
      <c r="D23" s="34"/>
      <c r="E23" s="34"/>
      <c r="F23" s="34"/>
      <c r="G23" s="34"/>
      <c r="H23" s="34"/>
      <c r="I23" s="34"/>
      <c r="J23" s="34"/>
      <c r="K23" s="13"/>
      <c r="L23" s="13"/>
      <c r="M23" s="13"/>
    </row>
    <row r="24" spans="1:13" x14ac:dyDescent="0.45">
      <c r="A24" s="16"/>
      <c r="B24" s="8"/>
      <c r="C24" s="34"/>
      <c r="D24" s="34"/>
      <c r="E24" s="34"/>
      <c r="F24" s="34"/>
      <c r="G24" s="34"/>
      <c r="H24" s="34"/>
      <c r="I24" s="34"/>
      <c r="J24" s="34"/>
      <c r="K24" s="13"/>
      <c r="L24" s="13"/>
      <c r="M24" s="16"/>
    </row>
    <row r="25" spans="1:13" x14ac:dyDescent="0.45">
      <c r="A25" s="13"/>
      <c r="B25" s="28" t="s">
        <v>300</v>
      </c>
      <c r="C25" s="133"/>
      <c r="D25" s="133"/>
      <c r="E25" s="11"/>
      <c r="F25" s="11"/>
      <c r="G25" s="34"/>
      <c r="H25" s="34"/>
      <c r="I25" s="34"/>
      <c r="J25" s="12"/>
      <c r="K25" s="13"/>
      <c r="L25" s="13"/>
      <c r="M25" s="13"/>
    </row>
    <row r="26" spans="1:13" x14ac:dyDescent="0.45">
      <c r="A26" s="13"/>
      <c r="B26" s="34" t="s">
        <v>301</v>
      </c>
      <c r="C26" s="133"/>
      <c r="D26" s="133"/>
      <c r="E26" s="11"/>
      <c r="F26" s="11"/>
      <c r="G26" s="34"/>
      <c r="H26" s="34"/>
      <c r="I26" s="34"/>
      <c r="J26" s="12"/>
      <c r="K26" s="13"/>
      <c r="L26" s="13"/>
      <c r="M26" s="13"/>
    </row>
    <row r="27" spans="1:13" x14ac:dyDescent="0.45">
      <c r="A27" s="13"/>
      <c r="B27" s="12"/>
      <c r="C27" s="29" t="s">
        <v>302</v>
      </c>
      <c r="D27" s="30"/>
      <c r="E27" s="30"/>
      <c r="F27" s="30"/>
      <c r="G27" s="30"/>
      <c r="H27" s="28"/>
      <c r="I27" s="28"/>
      <c r="J27" s="31"/>
      <c r="K27" s="13"/>
      <c r="L27" s="13"/>
      <c r="M27" s="13"/>
    </row>
    <row r="28" spans="1:13" ht="17.399999999999999" customHeight="1" x14ac:dyDescent="0.45">
      <c r="A28" s="13"/>
      <c r="B28" s="12"/>
      <c r="C28" s="229" t="s">
        <v>303</v>
      </c>
      <c r="D28" s="160" t="s">
        <v>304</v>
      </c>
      <c r="E28" s="151"/>
      <c r="F28" s="151"/>
      <c r="G28" s="151"/>
      <c r="H28" s="151"/>
      <c r="I28" s="151"/>
      <c r="J28" s="151"/>
      <c r="K28" s="152"/>
      <c r="L28" s="13"/>
      <c r="M28" s="13"/>
    </row>
    <row r="29" spans="1:13" ht="31.25" customHeight="1" x14ac:dyDescent="0.45">
      <c r="A29" s="13"/>
      <c r="B29" s="12"/>
      <c r="C29" s="230"/>
      <c r="D29" s="160" t="s">
        <v>305</v>
      </c>
      <c r="E29" s="152"/>
      <c r="F29" s="160" t="s">
        <v>420</v>
      </c>
      <c r="G29" s="152"/>
      <c r="H29" s="160" t="s">
        <v>421</v>
      </c>
      <c r="I29" s="152"/>
      <c r="J29" s="160" t="s">
        <v>422</v>
      </c>
      <c r="K29" s="152"/>
      <c r="L29" s="13"/>
      <c r="M29" s="13"/>
    </row>
    <row r="30" spans="1:13" x14ac:dyDescent="0.45">
      <c r="A30" s="13"/>
      <c r="B30" s="12"/>
      <c r="C30" s="132" t="s">
        <v>306</v>
      </c>
      <c r="D30" s="167">
        <v>0.11</v>
      </c>
      <c r="E30" s="152"/>
      <c r="F30" s="167">
        <v>0.08</v>
      </c>
      <c r="G30" s="152"/>
      <c r="H30" s="167">
        <v>0.06</v>
      </c>
      <c r="I30" s="152"/>
      <c r="J30" s="167">
        <v>0.05</v>
      </c>
      <c r="K30" s="152"/>
      <c r="L30" s="13"/>
      <c r="M30" s="13"/>
    </row>
    <row r="31" spans="1:13" s="60" customFormat="1" x14ac:dyDescent="0.45">
      <c r="A31" s="13"/>
      <c r="B31" s="12"/>
      <c r="C31" s="32" t="s">
        <v>423</v>
      </c>
      <c r="D31" s="136"/>
      <c r="E31" s="62"/>
      <c r="F31" s="62"/>
      <c r="G31" s="34"/>
      <c r="H31" s="34"/>
      <c r="I31" s="34"/>
      <c r="J31" s="42"/>
      <c r="K31" s="13"/>
      <c r="L31" s="13"/>
      <c r="M31" s="13"/>
    </row>
    <row r="32" spans="1:13" x14ac:dyDescent="0.45">
      <c r="A32" s="13"/>
      <c r="B32" s="31"/>
      <c r="C32" s="33" t="s">
        <v>424</v>
      </c>
      <c r="D32" s="28"/>
      <c r="E32" s="28"/>
      <c r="F32" s="16"/>
      <c r="G32" s="16"/>
      <c r="H32" s="16"/>
      <c r="I32" s="16"/>
      <c r="J32" s="31"/>
      <c r="K32" s="13"/>
      <c r="L32" s="13"/>
      <c r="M32" s="13"/>
    </row>
    <row r="33" spans="1:16" x14ac:dyDescent="0.45">
      <c r="A33" s="13"/>
      <c r="B33" s="31"/>
      <c r="C33" s="33" t="s">
        <v>425</v>
      </c>
      <c r="D33" s="28"/>
      <c r="E33" s="28"/>
      <c r="F33" s="16"/>
      <c r="G33" s="16"/>
      <c r="H33" s="16"/>
      <c r="I33" s="16"/>
      <c r="J33" s="31"/>
      <c r="K33" s="13"/>
      <c r="L33" s="13"/>
      <c r="M33" s="13"/>
      <c r="N33" s="140"/>
      <c r="P33" s="140"/>
    </row>
    <row r="34" spans="1:16" x14ac:dyDescent="0.45">
      <c r="A34" s="13"/>
      <c r="B34" s="34" t="s">
        <v>307</v>
      </c>
      <c r="C34" s="34"/>
      <c r="D34" s="34"/>
      <c r="E34" s="34"/>
      <c r="F34" s="34"/>
      <c r="G34" s="34"/>
      <c r="H34" s="34"/>
      <c r="I34" s="34"/>
      <c r="J34" s="34"/>
      <c r="K34" s="13"/>
      <c r="L34" s="13"/>
      <c r="M34" s="13"/>
      <c r="N34" s="140">
        <v>150000000</v>
      </c>
      <c r="O34" s="53">
        <v>0.11</v>
      </c>
      <c r="P34" s="140">
        <f>N34*O34</f>
        <v>16500000</v>
      </c>
    </row>
    <row r="35" spans="1:16" x14ac:dyDescent="0.45">
      <c r="A35" s="13"/>
      <c r="B35" s="13"/>
      <c r="C35" s="34"/>
      <c r="D35" s="34"/>
      <c r="E35" s="34"/>
      <c r="F35" s="34"/>
      <c r="G35" s="34"/>
      <c r="H35" s="34"/>
      <c r="I35" s="34"/>
      <c r="J35" s="34"/>
      <c r="K35" s="13"/>
      <c r="L35" s="13"/>
      <c r="M35" s="13"/>
      <c r="N35" s="140">
        <v>50000000</v>
      </c>
      <c r="O35" s="53">
        <v>0.08</v>
      </c>
      <c r="P35" s="140">
        <f>N35*O35</f>
        <v>4000000</v>
      </c>
    </row>
    <row r="36" spans="1:16" x14ac:dyDescent="0.45">
      <c r="A36" s="13"/>
      <c r="B36" s="28" t="s">
        <v>308</v>
      </c>
      <c r="C36" s="28"/>
      <c r="D36" s="28"/>
      <c r="E36" s="28"/>
      <c r="F36" s="28"/>
      <c r="G36" s="28"/>
      <c r="H36" s="28"/>
      <c r="I36" s="28"/>
      <c r="J36" s="28"/>
      <c r="K36" s="13"/>
      <c r="L36" s="13"/>
      <c r="M36" s="13"/>
      <c r="N36" s="140">
        <v>70000000</v>
      </c>
      <c r="O36" s="53">
        <v>7.0000000000000007E-2</v>
      </c>
      <c r="P36" s="140">
        <f>N36*O36</f>
        <v>4900000.0000000009</v>
      </c>
    </row>
    <row r="37" spans="1:16" x14ac:dyDescent="0.45">
      <c r="A37" s="13"/>
      <c r="B37" s="34" t="s">
        <v>309</v>
      </c>
      <c r="C37" s="34"/>
      <c r="D37" s="34"/>
      <c r="E37" s="34"/>
      <c r="F37" s="34"/>
      <c r="G37" s="34"/>
      <c r="H37" s="34"/>
      <c r="I37" s="34"/>
      <c r="J37" s="34"/>
      <c r="K37" s="13"/>
      <c r="L37" s="13"/>
      <c r="M37" s="13"/>
      <c r="N37" s="140"/>
      <c r="P37" s="140">
        <f>SUM(P34:P36)</f>
        <v>25400000</v>
      </c>
    </row>
    <row r="38" spans="1:16" x14ac:dyDescent="0.45">
      <c r="A38" s="13"/>
      <c r="B38" s="34" t="s">
        <v>310</v>
      </c>
      <c r="C38" s="34"/>
      <c r="D38" s="34"/>
      <c r="E38" s="34"/>
      <c r="F38" s="34"/>
      <c r="G38" s="34"/>
      <c r="H38" s="34"/>
      <c r="I38" s="34"/>
      <c r="J38" s="34"/>
      <c r="K38" s="13"/>
      <c r="L38" s="13"/>
      <c r="M38" s="13"/>
    </row>
    <row r="39" spans="1:16" x14ac:dyDescent="0.45">
      <c r="A39" s="13"/>
      <c r="B39" s="34" t="s">
        <v>311</v>
      </c>
      <c r="C39" s="34"/>
      <c r="D39" s="34"/>
      <c r="E39" s="34"/>
      <c r="F39" s="34"/>
      <c r="G39" s="34"/>
      <c r="H39" s="34"/>
      <c r="I39" s="34"/>
      <c r="J39" s="34"/>
      <c r="K39" s="13"/>
      <c r="L39" s="13"/>
      <c r="M39" s="13"/>
      <c r="N39" s="114" t="s">
        <v>312</v>
      </c>
    </row>
    <row r="40" spans="1:16" x14ac:dyDescent="0.45">
      <c r="A40" s="13"/>
      <c r="B40" s="34" t="s">
        <v>313</v>
      </c>
      <c r="C40" s="34"/>
      <c r="D40" s="34"/>
      <c r="E40" s="34"/>
      <c r="F40" s="34"/>
      <c r="G40" s="34"/>
      <c r="H40" s="34"/>
      <c r="I40" s="34"/>
      <c r="J40" s="34"/>
      <c r="K40" s="13"/>
      <c r="L40" s="13"/>
      <c r="M40" s="13"/>
    </row>
    <row r="41" spans="1:16" x14ac:dyDescent="0.45">
      <c r="A41" s="13"/>
      <c r="B41" s="34" t="s">
        <v>314</v>
      </c>
      <c r="C41" s="34"/>
      <c r="D41" s="34"/>
      <c r="E41" s="34"/>
      <c r="F41" s="34"/>
      <c r="G41" s="34"/>
      <c r="H41" s="34"/>
      <c r="I41" s="34"/>
      <c r="J41" s="34"/>
      <c r="K41" s="13"/>
      <c r="L41" s="13"/>
      <c r="M41" s="13"/>
    </row>
    <row r="42" spans="1:16" x14ac:dyDescent="0.45">
      <c r="A42" s="13"/>
      <c r="B42" s="34" t="s">
        <v>315</v>
      </c>
      <c r="C42" s="34"/>
      <c r="D42" s="34"/>
      <c r="E42" s="34"/>
      <c r="F42" s="34"/>
      <c r="G42" s="34"/>
      <c r="H42" s="34"/>
      <c r="I42" s="34"/>
      <c r="J42" s="34"/>
      <c r="K42" s="13"/>
      <c r="L42" s="13"/>
      <c r="M42" s="13"/>
    </row>
    <row r="43" spans="1:16" x14ac:dyDescent="0.45">
      <c r="A43" s="13"/>
      <c r="B43" s="34" t="s">
        <v>316</v>
      </c>
      <c r="C43" s="34"/>
      <c r="D43" s="34"/>
      <c r="E43" s="34"/>
      <c r="F43" s="34"/>
      <c r="G43" s="34"/>
      <c r="H43" s="34"/>
      <c r="I43" s="34"/>
      <c r="J43" s="34"/>
      <c r="K43" s="13"/>
      <c r="L43" s="13"/>
      <c r="M43" s="13"/>
    </row>
    <row r="44" spans="1:16" x14ac:dyDescent="0.45">
      <c r="A44" s="13"/>
      <c r="B44" s="34"/>
      <c r="C44" s="34"/>
      <c r="D44" s="34"/>
      <c r="E44" s="34"/>
      <c r="F44" s="34"/>
      <c r="G44" s="34"/>
      <c r="H44" s="34"/>
      <c r="I44" s="34"/>
      <c r="J44" s="34"/>
      <c r="K44" s="13"/>
      <c r="L44" s="13"/>
      <c r="M44" s="13"/>
    </row>
    <row r="45" spans="1:16" x14ac:dyDescent="0.45">
      <c r="A45" s="13"/>
      <c r="B45" s="28" t="s">
        <v>426</v>
      </c>
      <c r="C45" s="34"/>
      <c r="D45" s="34"/>
      <c r="E45" s="34"/>
      <c r="F45" s="34"/>
      <c r="G45" s="34"/>
      <c r="H45" s="34"/>
      <c r="I45" s="34"/>
      <c r="J45" s="34"/>
      <c r="K45" s="13"/>
      <c r="L45" s="13"/>
      <c r="M45" s="13"/>
      <c r="N45" s="114" t="s">
        <v>281</v>
      </c>
    </row>
    <row r="46" spans="1:16" x14ac:dyDescent="0.45">
      <c r="A46" s="13"/>
      <c r="B46" s="34" t="s">
        <v>427</v>
      </c>
      <c r="C46" s="34"/>
      <c r="D46" s="34"/>
      <c r="E46" s="34"/>
      <c r="F46" s="34"/>
      <c r="G46" s="34"/>
      <c r="H46" s="34"/>
      <c r="I46" s="34"/>
      <c r="J46" s="34"/>
      <c r="K46" s="13"/>
      <c r="L46" s="13"/>
      <c r="M46" s="13"/>
    </row>
    <row r="47" spans="1:16" x14ac:dyDescent="0.45">
      <c r="A47" s="13"/>
      <c r="B47" s="34" t="s">
        <v>428</v>
      </c>
      <c r="C47" s="34"/>
      <c r="D47" s="34"/>
      <c r="E47" s="34"/>
      <c r="F47" s="34"/>
      <c r="G47" s="34"/>
      <c r="H47" s="34"/>
      <c r="I47" s="34"/>
      <c r="J47" s="34"/>
      <c r="K47" s="13"/>
      <c r="L47" s="13"/>
      <c r="M47" s="13"/>
    </row>
    <row r="48" spans="1:16" x14ac:dyDescent="0.45">
      <c r="A48" s="13"/>
      <c r="B48" s="34" t="s">
        <v>429</v>
      </c>
      <c r="C48" s="34"/>
      <c r="D48" s="34"/>
      <c r="E48" s="34"/>
      <c r="F48" s="34"/>
      <c r="G48" s="34"/>
      <c r="H48" s="34"/>
      <c r="I48" s="34"/>
      <c r="J48" s="34"/>
      <c r="K48" s="13"/>
      <c r="L48" s="13"/>
      <c r="M48" s="13"/>
    </row>
    <row r="49" spans="1:13" x14ac:dyDescent="0.45">
      <c r="A49" s="13"/>
      <c r="B49" s="34" t="s">
        <v>430</v>
      </c>
      <c r="C49" s="34"/>
      <c r="D49" s="34"/>
      <c r="E49" s="34"/>
      <c r="F49" s="34"/>
      <c r="G49" s="34"/>
      <c r="H49" s="34"/>
      <c r="I49" s="34"/>
      <c r="J49" s="34"/>
      <c r="K49" s="13"/>
      <c r="L49" s="13"/>
      <c r="M49" s="13"/>
    </row>
    <row r="50" spans="1:13" x14ac:dyDescent="0.45">
      <c r="A50" s="13"/>
      <c r="B50" s="34" t="s">
        <v>431</v>
      </c>
      <c r="C50" s="34"/>
      <c r="D50" s="34"/>
      <c r="E50" s="34"/>
      <c r="F50" s="34"/>
      <c r="G50" s="34"/>
      <c r="H50" s="34"/>
      <c r="I50" s="34"/>
      <c r="J50" s="34"/>
      <c r="K50" s="13"/>
      <c r="L50" s="13"/>
      <c r="M50" s="13"/>
    </row>
    <row r="51" spans="1:13" x14ac:dyDescent="0.45">
      <c r="A51" s="13"/>
      <c r="B51" s="34" t="s">
        <v>432</v>
      </c>
      <c r="C51" s="34"/>
      <c r="D51" s="34"/>
      <c r="E51" s="34"/>
      <c r="F51" s="34"/>
      <c r="G51" s="34"/>
      <c r="H51" s="34"/>
      <c r="I51" s="34"/>
      <c r="J51" s="34"/>
      <c r="K51" s="13"/>
      <c r="L51" s="13"/>
      <c r="M51" s="13"/>
    </row>
    <row r="52" spans="1:13" x14ac:dyDescent="0.45">
      <c r="A52" s="13"/>
      <c r="B52" s="34" t="s">
        <v>433</v>
      </c>
      <c r="C52" s="34"/>
      <c r="D52" s="34"/>
      <c r="E52" s="34"/>
      <c r="F52" s="34"/>
      <c r="G52" s="34"/>
      <c r="H52" s="34"/>
      <c r="I52" s="34"/>
      <c r="J52" s="34"/>
      <c r="K52" s="13"/>
      <c r="L52" s="13"/>
      <c r="M52" s="13"/>
    </row>
    <row r="53" spans="1:13" x14ac:dyDescent="0.45">
      <c r="A53" s="13"/>
      <c r="B53" s="34" t="s">
        <v>434</v>
      </c>
      <c r="C53" s="34"/>
      <c r="D53" s="34"/>
      <c r="E53" s="34"/>
      <c r="F53" s="34"/>
      <c r="G53" s="34"/>
      <c r="H53" s="34"/>
      <c r="I53" s="34"/>
      <c r="J53" s="34"/>
      <c r="K53" s="13"/>
      <c r="L53" s="13"/>
      <c r="M53" s="13"/>
    </row>
    <row r="54" spans="1:13" x14ac:dyDescent="0.45">
      <c r="A54" s="13"/>
      <c r="B54" s="34" t="s">
        <v>435</v>
      </c>
      <c r="C54" s="34"/>
      <c r="D54" s="34"/>
      <c r="E54" s="34"/>
      <c r="F54" s="34"/>
      <c r="G54" s="34"/>
      <c r="H54" s="34"/>
      <c r="I54" s="34"/>
      <c r="J54" s="34"/>
      <c r="K54" s="13"/>
      <c r="L54" s="13"/>
      <c r="M54" s="13"/>
    </row>
    <row r="55" spans="1:13" x14ac:dyDescent="0.45">
      <c r="A55" s="13"/>
      <c r="B55" s="34" t="s">
        <v>436</v>
      </c>
      <c r="C55" s="34"/>
      <c r="D55" s="34"/>
      <c r="E55" s="34"/>
      <c r="F55" s="34"/>
      <c r="G55" s="34"/>
      <c r="H55" s="34"/>
      <c r="I55" s="34"/>
      <c r="J55" s="34"/>
      <c r="K55" s="13"/>
      <c r="L55" s="13"/>
      <c r="M55" s="13"/>
    </row>
    <row r="56" spans="1:13" x14ac:dyDescent="0.45">
      <c r="A56" s="13"/>
      <c r="B56" s="34" t="s">
        <v>437</v>
      </c>
      <c r="C56" s="34"/>
      <c r="D56" s="34"/>
      <c r="E56" s="34"/>
      <c r="F56" s="34"/>
      <c r="G56" s="34"/>
      <c r="H56" s="34"/>
      <c r="I56" s="34"/>
      <c r="J56" s="34"/>
      <c r="K56" s="13"/>
      <c r="L56" s="13"/>
      <c r="M56" s="13"/>
    </row>
    <row r="57" spans="1:13" x14ac:dyDescent="0.45">
      <c r="A57" s="13"/>
      <c r="B57" s="34" t="s">
        <v>438</v>
      </c>
      <c r="C57" s="34"/>
      <c r="D57" s="34"/>
      <c r="E57" s="34"/>
      <c r="F57" s="34"/>
      <c r="G57" s="34"/>
      <c r="H57" s="34"/>
      <c r="I57" s="34"/>
      <c r="J57" s="34"/>
      <c r="K57" s="13"/>
      <c r="L57" s="13"/>
      <c r="M57" s="13"/>
    </row>
    <row r="58" spans="1:13" x14ac:dyDescent="0.45">
      <c r="A58" s="16"/>
      <c r="B58" s="34"/>
      <c r="C58" s="34"/>
      <c r="D58" s="34"/>
      <c r="E58" s="34"/>
      <c r="F58" s="34"/>
      <c r="G58" s="34"/>
      <c r="H58" s="34"/>
      <c r="I58" s="34"/>
      <c r="J58" s="34"/>
      <c r="K58" s="16"/>
      <c r="L58" s="16"/>
      <c r="M58" s="20"/>
    </row>
    <row r="59" spans="1:13" x14ac:dyDescent="0.45">
      <c r="A59" s="13"/>
      <c r="B59" s="28" t="s">
        <v>439</v>
      </c>
      <c r="C59" s="34"/>
      <c r="D59" s="34"/>
      <c r="E59" s="34"/>
      <c r="F59" s="34"/>
      <c r="G59" s="34"/>
      <c r="H59" s="34"/>
      <c r="I59" s="8"/>
      <c r="J59" s="34"/>
      <c r="K59" s="13"/>
      <c r="L59" s="13"/>
      <c r="M59" s="13"/>
    </row>
    <row r="60" spans="1:13" x14ac:dyDescent="0.45">
      <c r="A60" s="13"/>
      <c r="B60" s="34" t="s">
        <v>317</v>
      </c>
      <c r="C60" s="34"/>
      <c r="D60" s="34"/>
      <c r="E60" s="34"/>
      <c r="F60" s="34"/>
      <c r="G60" s="34"/>
      <c r="H60" s="34"/>
      <c r="I60" s="8"/>
      <c r="J60" s="34"/>
      <c r="K60" s="13"/>
      <c r="L60" s="13"/>
      <c r="M60" s="35"/>
    </row>
    <row r="61" spans="1:13" x14ac:dyDescent="0.45">
      <c r="A61" s="13"/>
      <c r="B61" s="34" t="s">
        <v>318</v>
      </c>
      <c r="C61" s="34"/>
      <c r="D61" s="34"/>
      <c r="E61" s="34"/>
      <c r="F61" s="34"/>
      <c r="G61" s="34"/>
      <c r="H61" s="34"/>
      <c r="I61" s="8"/>
      <c r="J61" s="34"/>
      <c r="K61" s="13"/>
      <c r="L61" s="13"/>
      <c r="M61" s="35"/>
    </row>
    <row r="62" spans="1:13" x14ac:dyDescent="0.45">
      <c r="A62" s="16"/>
      <c r="B62" s="34" t="s">
        <v>319</v>
      </c>
      <c r="C62" s="34"/>
      <c r="D62" s="34"/>
      <c r="E62" s="34"/>
      <c r="F62" s="34"/>
      <c r="G62" s="34"/>
      <c r="H62" s="34"/>
      <c r="I62" s="8"/>
      <c r="J62" s="34"/>
      <c r="K62" s="13"/>
      <c r="L62" s="13"/>
      <c r="M62" s="35"/>
    </row>
    <row r="63" spans="1:13" x14ac:dyDescent="0.45">
      <c r="B63" s="8"/>
      <c r="C63" s="8"/>
      <c r="D63" s="8"/>
      <c r="E63" s="8"/>
      <c r="F63" s="8"/>
      <c r="G63" s="8"/>
      <c r="H63" s="8"/>
      <c r="I63" s="8"/>
      <c r="J63" s="34"/>
      <c r="K63" s="13"/>
      <c r="L63" s="13"/>
      <c r="M63" s="35"/>
    </row>
    <row r="64" spans="1:13" s="15" customFormat="1" x14ac:dyDescent="0.45">
      <c r="B64" s="28" t="s">
        <v>440</v>
      </c>
    </row>
    <row r="65" spans="1:16" s="15" customFormat="1" x14ac:dyDescent="0.45">
      <c r="B65" s="34" t="s">
        <v>320</v>
      </c>
    </row>
    <row r="66" spans="1:16" s="15" customFormat="1" x14ac:dyDescent="0.45">
      <c r="A66" s="13"/>
      <c r="B66" s="34" t="s">
        <v>321</v>
      </c>
    </row>
    <row r="67" spans="1:16" s="15" customFormat="1" ht="17.399999999999999" customHeight="1" x14ac:dyDescent="0.45">
      <c r="A67" s="14"/>
      <c r="B67" s="34"/>
      <c r="C67" s="229" t="s">
        <v>303</v>
      </c>
      <c r="D67" s="160" t="s">
        <v>304</v>
      </c>
      <c r="E67" s="151"/>
      <c r="F67" s="151"/>
      <c r="G67" s="151"/>
      <c r="H67" s="151"/>
      <c r="I67" s="151"/>
      <c r="J67" s="151"/>
      <c r="K67" s="152"/>
    </row>
    <row r="68" spans="1:16" s="15" customFormat="1" ht="31.25" customHeight="1" x14ac:dyDescent="0.45">
      <c r="A68" s="14"/>
      <c r="B68" s="34"/>
      <c r="C68" s="230"/>
      <c r="D68" s="160" t="s">
        <v>441</v>
      </c>
      <c r="E68" s="152"/>
      <c r="F68" s="160" t="s">
        <v>442</v>
      </c>
      <c r="G68" s="152"/>
      <c r="H68" s="160" t="s">
        <v>443</v>
      </c>
      <c r="I68" s="152"/>
      <c r="J68" s="160" t="s">
        <v>444</v>
      </c>
      <c r="K68" s="152"/>
    </row>
    <row r="69" spans="1:16" s="15" customFormat="1" x14ac:dyDescent="0.45">
      <c r="A69" s="14"/>
      <c r="B69" s="34"/>
      <c r="C69" s="132" t="s">
        <v>322</v>
      </c>
      <c r="D69" s="167" t="s">
        <v>323</v>
      </c>
      <c r="E69" s="152"/>
      <c r="F69" s="167" t="s">
        <v>324</v>
      </c>
      <c r="G69" s="152"/>
      <c r="H69" s="167" t="s">
        <v>325</v>
      </c>
      <c r="I69" s="152"/>
      <c r="J69" s="167" t="s">
        <v>326</v>
      </c>
      <c r="K69" s="152"/>
    </row>
    <row r="70" spans="1:16" s="15" customFormat="1" x14ac:dyDescent="0.45">
      <c r="A70" s="14"/>
      <c r="B70" s="34"/>
      <c r="C70" s="36" t="s">
        <v>445</v>
      </c>
      <c r="D70" s="37"/>
      <c r="E70" s="38"/>
      <c r="F70" s="141"/>
      <c r="G70" s="141"/>
      <c r="H70" s="141"/>
      <c r="I70" s="32"/>
      <c r="P70" s="142"/>
    </row>
    <row r="71" spans="1:16" s="15" customFormat="1" x14ac:dyDescent="0.45">
      <c r="A71" s="14"/>
      <c r="B71" s="34"/>
      <c r="C71" s="36" t="s">
        <v>327</v>
      </c>
      <c r="D71" s="37"/>
      <c r="E71" s="38"/>
      <c r="F71" s="141"/>
      <c r="G71" s="141"/>
      <c r="H71" s="141"/>
      <c r="I71" s="32"/>
      <c r="N71" s="142">
        <v>100000000</v>
      </c>
      <c r="O71" s="51">
        <v>5.0000000000000001E-3</v>
      </c>
      <c r="P71" s="142">
        <f>N71*O71</f>
        <v>500000</v>
      </c>
    </row>
    <row r="72" spans="1:16" s="15" customFormat="1" x14ac:dyDescent="0.45">
      <c r="A72" s="14"/>
      <c r="B72" s="34" t="s">
        <v>328</v>
      </c>
      <c r="N72" s="142">
        <v>200000000</v>
      </c>
      <c r="O72" s="52">
        <v>0.01</v>
      </c>
      <c r="P72" s="142">
        <f>N72*O72</f>
        <v>2000000</v>
      </c>
    </row>
    <row r="73" spans="1:16" s="15" customFormat="1" x14ac:dyDescent="0.45">
      <c r="A73" s="14"/>
      <c r="B73" s="34" t="s">
        <v>329</v>
      </c>
      <c r="N73" s="142">
        <v>50000000</v>
      </c>
      <c r="O73" s="51">
        <v>1.4999999999999999E-2</v>
      </c>
      <c r="P73" s="142">
        <f>N73*O73</f>
        <v>750000</v>
      </c>
    </row>
    <row r="74" spans="1:16" s="15" customFormat="1" x14ac:dyDescent="0.45">
      <c r="A74" s="14"/>
      <c r="B74" s="34" t="s">
        <v>330</v>
      </c>
      <c r="P74" s="142">
        <f>SUM(P71:P73)</f>
        <v>3250000</v>
      </c>
    </row>
    <row r="75" spans="1:16" s="15" customFormat="1" x14ac:dyDescent="0.45">
      <c r="A75" s="14"/>
      <c r="B75" s="34" t="s">
        <v>331</v>
      </c>
    </row>
    <row r="76" spans="1:16" s="15" customFormat="1" x14ac:dyDescent="0.45">
      <c r="A76" s="14"/>
      <c r="B76" s="34" t="s">
        <v>332</v>
      </c>
    </row>
    <row r="77" spans="1:16" s="15" customFormat="1" x14ac:dyDescent="0.45">
      <c r="B77" s="8"/>
      <c r="C77" s="8"/>
      <c r="D77" s="8"/>
      <c r="E77" s="8"/>
      <c r="F77" s="8"/>
      <c r="G77" s="8"/>
      <c r="H77" s="8"/>
      <c r="I77" s="8"/>
      <c r="J77" s="34"/>
    </row>
    <row r="78" spans="1:16" s="15" customFormat="1" x14ac:dyDescent="0.45">
      <c r="B78" s="28" t="s">
        <v>446</v>
      </c>
      <c r="C78" s="47"/>
      <c r="D78" s="47"/>
      <c r="E78" s="18"/>
      <c r="F78" s="47"/>
      <c r="G78" s="47"/>
      <c r="H78" s="47"/>
      <c r="I78" s="47"/>
      <c r="J78" s="47"/>
    </row>
    <row r="79" spans="1:16" s="15" customFormat="1" x14ac:dyDescent="0.45">
      <c r="B79" s="34" t="s">
        <v>333</v>
      </c>
      <c r="C79" s="47"/>
      <c r="D79" s="47"/>
      <c r="E79" s="47"/>
      <c r="F79" s="47"/>
      <c r="G79" s="47"/>
      <c r="H79" s="47"/>
      <c r="I79" s="47"/>
      <c r="J79" s="47"/>
    </row>
    <row r="80" spans="1:16" s="15" customFormat="1" x14ac:dyDescent="0.45">
      <c r="B80" s="34"/>
      <c r="C80" s="214" t="s">
        <v>334</v>
      </c>
      <c r="D80" s="173"/>
      <c r="E80" s="172" t="s">
        <v>335</v>
      </c>
      <c r="F80" s="173"/>
      <c r="G80" s="172" t="s">
        <v>336</v>
      </c>
      <c r="H80" s="173"/>
      <c r="I80" s="216" t="s">
        <v>337</v>
      </c>
      <c r="J80" s="151"/>
      <c r="K80" s="151"/>
    </row>
    <row r="81" spans="1:13" s="15" customFormat="1" ht="17.399999999999999" customHeight="1" x14ac:dyDescent="0.45">
      <c r="B81" s="34"/>
      <c r="C81" s="202" t="s">
        <v>338</v>
      </c>
      <c r="D81" s="203"/>
      <c r="E81" s="200" t="s">
        <v>339</v>
      </c>
      <c r="F81" s="201"/>
      <c r="G81" s="200" t="s">
        <v>340</v>
      </c>
      <c r="H81" s="201"/>
      <c r="I81" s="220" t="s">
        <v>341</v>
      </c>
      <c r="J81" s="196"/>
      <c r="K81" s="196"/>
    </row>
    <row r="82" spans="1:13" s="60" customFormat="1" ht="17.399999999999999" customHeight="1" x14ac:dyDescent="0.45">
      <c r="A82" s="15"/>
      <c r="B82" s="34"/>
      <c r="C82" s="188"/>
      <c r="D82" s="189"/>
      <c r="E82" s="161" t="s">
        <v>342</v>
      </c>
      <c r="F82" s="162"/>
      <c r="G82" s="161" t="s">
        <v>343</v>
      </c>
      <c r="H82" s="162"/>
      <c r="I82" s="219" t="s">
        <v>344</v>
      </c>
      <c r="J82" s="193"/>
      <c r="K82" s="193"/>
      <c r="L82" s="15"/>
      <c r="M82" s="15"/>
    </row>
    <row r="83" spans="1:13" s="60" customFormat="1" ht="17.399999999999999" customHeight="1" x14ac:dyDescent="0.45">
      <c r="A83" s="15"/>
      <c r="B83" s="34"/>
      <c r="C83" s="190" t="s">
        <v>345</v>
      </c>
      <c r="D83" s="187"/>
      <c r="E83" s="231" t="s">
        <v>346</v>
      </c>
      <c r="F83" s="162"/>
      <c r="G83" s="231" t="s">
        <v>347</v>
      </c>
      <c r="H83" s="162"/>
      <c r="I83" s="174" t="s">
        <v>348</v>
      </c>
      <c r="J83" s="191"/>
      <c r="K83" s="191"/>
      <c r="L83" s="15"/>
      <c r="M83" s="16"/>
    </row>
    <row r="84" spans="1:13" s="60" customFormat="1" ht="17.399999999999999" customHeight="1" x14ac:dyDescent="0.45">
      <c r="A84" s="15"/>
      <c r="B84" s="34"/>
      <c r="C84" s="223" t="s">
        <v>349</v>
      </c>
      <c r="D84" s="189"/>
      <c r="E84" s="227"/>
      <c r="F84" s="183"/>
      <c r="G84" s="227"/>
      <c r="H84" s="183"/>
      <c r="I84" s="192"/>
      <c r="J84" s="193"/>
      <c r="K84" s="193"/>
      <c r="L84" s="15"/>
      <c r="M84" s="16"/>
    </row>
    <row r="85" spans="1:13" s="60" customFormat="1" ht="17.399999999999999" customHeight="1" x14ac:dyDescent="0.45">
      <c r="A85" s="15"/>
      <c r="B85" s="34"/>
      <c r="C85" s="206" t="s">
        <v>350</v>
      </c>
      <c r="D85" s="207"/>
      <c r="E85" s="161" t="s">
        <v>351</v>
      </c>
      <c r="F85" s="162"/>
      <c r="G85" s="161" t="s">
        <v>347</v>
      </c>
      <c r="H85" s="162"/>
      <c r="I85" s="174" t="s">
        <v>352</v>
      </c>
      <c r="J85" s="175"/>
      <c r="K85" s="175"/>
      <c r="L85" s="15"/>
      <c r="M85" s="16"/>
    </row>
    <row r="86" spans="1:13" s="60" customFormat="1" ht="17.399999999999999" customHeight="1" x14ac:dyDescent="0.45">
      <c r="A86" s="15"/>
      <c r="B86" s="34"/>
      <c r="C86" s="190" t="s">
        <v>345</v>
      </c>
      <c r="D86" s="187"/>
      <c r="E86" s="168" t="s">
        <v>353</v>
      </c>
      <c r="F86" s="169"/>
      <c r="G86" s="168" t="s">
        <v>354</v>
      </c>
      <c r="H86" s="169"/>
      <c r="I86" s="174" t="s">
        <v>348</v>
      </c>
      <c r="J86" s="191"/>
      <c r="K86" s="191"/>
      <c r="L86" s="15"/>
      <c r="M86" s="16"/>
    </row>
    <row r="87" spans="1:13" s="60" customFormat="1" ht="17.399999999999999" customHeight="1" x14ac:dyDescent="0.45">
      <c r="A87" s="15"/>
      <c r="B87" s="34"/>
      <c r="C87" s="180" t="s">
        <v>355</v>
      </c>
      <c r="D87" s="181"/>
      <c r="E87" s="168" t="s">
        <v>356</v>
      </c>
      <c r="F87" s="169"/>
      <c r="G87" s="226" t="s">
        <v>347</v>
      </c>
      <c r="H87" s="181"/>
      <c r="I87" s="192"/>
      <c r="J87" s="193"/>
      <c r="K87" s="193"/>
      <c r="L87" s="15"/>
      <c r="M87" s="16"/>
    </row>
    <row r="88" spans="1:13" s="60" customFormat="1" ht="17.399999999999999" customHeight="1" x14ac:dyDescent="0.45">
      <c r="A88" s="15"/>
      <c r="B88" s="34"/>
      <c r="C88" s="182"/>
      <c r="D88" s="183"/>
      <c r="E88" s="226" t="s">
        <v>357</v>
      </c>
      <c r="F88" s="183"/>
      <c r="G88" s="227"/>
      <c r="H88" s="183"/>
      <c r="I88" s="174" t="s">
        <v>358</v>
      </c>
      <c r="J88" s="175"/>
      <c r="K88" s="175"/>
      <c r="L88" s="15"/>
      <c r="M88" s="16"/>
    </row>
    <row r="89" spans="1:13" ht="20" customHeight="1" x14ac:dyDescent="0.45">
      <c r="B89" s="34"/>
      <c r="C89" s="186" t="s">
        <v>359</v>
      </c>
      <c r="D89" s="187"/>
      <c r="E89" s="184" t="s">
        <v>360</v>
      </c>
      <c r="F89" s="185"/>
      <c r="G89" s="184" t="s">
        <v>343</v>
      </c>
      <c r="H89" s="185"/>
      <c r="I89" s="217" t="s">
        <v>361</v>
      </c>
      <c r="J89" s="191"/>
      <c r="K89" s="191"/>
    </row>
    <row r="90" spans="1:13" ht="32.4" customHeight="1" x14ac:dyDescent="0.45">
      <c r="B90" s="34"/>
      <c r="C90" s="188"/>
      <c r="D90" s="189"/>
      <c r="E90" s="212" t="s">
        <v>362</v>
      </c>
      <c r="F90" s="213"/>
      <c r="G90" s="212" t="s">
        <v>363</v>
      </c>
      <c r="H90" s="213"/>
      <c r="I90" s="215" t="s">
        <v>364</v>
      </c>
      <c r="J90" s="179"/>
      <c r="K90" s="179"/>
    </row>
    <row r="91" spans="1:13" ht="18.649999999999999" customHeight="1" x14ac:dyDescent="0.45">
      <c r="B91" s="34"/>
      <c r="C91" s="39" t="s">
        <v>447</v>
      </c>
      <c r="D91" s="40"/>
      <c r="E91" s="40"/>
      <c r="F91" s="40"/>
      <c r="G91" s="40"/>
      <c r="H91" s="40"/>
      <c r="I91" s="40"/>
      <c r="J91" s="40"/>
      <c r="K91" s="40"/>
    </row>
    <row r="92" spans="1:13" ht="18.649999999999999" customHeight="1" x14ac:dyDescent="0.45">
      <c r="B92" s="34"/>
      <c r="C92" s="39" t="s">
        <v>365</v>
      </c>
      <c r="D92" s="40"/>
      <c r="E92" s="40"/>
      <c r="F92" s="40"/>
      <c r="G92" s="40"/>
      <c r="H92" s="40"/>
      <c r="I92" s="40"/>
      <c r="J92" s="40"/>
      <c r="K92" s="40"/>
    </row>
    <row r="93" spans="1:13" x14ac:dyDescent="0.45">
      <c r="B93" s="34" t="s">
        <v>366</v>
      </c>
      <c r="C93" s="40"/>
      <c r="D93" s="40"/>
      <c r="E93" s="40"/>
      <c r="F93" s="41"/>
      <c r="G93" s="47"/>
      <c r="H93" s="47"/>
      <c r="I93" s="47"/>
      <c r="J93" s="47"/>
    </row>
    <row r="94" spans="1:13" x14ac:dyDescent="0.45">
      <c r="B94" s="34" t="s">
        <v>367</v>
      </c>
      <c r="C94" s="40"/>
      <c r="D94" s="40"/>
      <c r="E94" s="40"/>
      <c r="F94" s="41"/>
      <c r="G94" s="47"/>
      <c r="H94" s="47"/>
      <c r="I94" s="47"/>
      <c r="J94" s="47"/>
    </row>
    <row r="95" spans="1:13" x14ac:dyDescent="0.45">
      <c r="B95" s="34" t="s">
        <v>368</v>
      </c>
      <c r="C95" s="40"/>
      <c r="D95" s="40"/>
      <c r="E95" s="40"/>
      <c r="F95" s="41"/>
      <c r="G95" s="47"/>
      <c r="H95" s="47"/>
      <c r="I95" s="47"/>
      <c r="J95" s="47"/>
    </row>
    <row r="96" spans="1:13" x14ac:dyDescent="0.45">
      <c r="B96" s="34" t="s">
        <v>369</v>
      </c>
      <c r="C96" s="40"/>
      <c r="D96" s="40"/>
      <c r="E96" s="40"/>
      <c r="F96" s="41"/>
      <c r="G96" s="47"/>
      <c r="H96" s="47"/>
      <c r="I96" s="47"/>
      <c r="J96" s="47"/>
    </row>
    <row r="97" spans="2:12" x14ac:dyDescent="0.45">
      <c r="B97" s="34" t="s">
        <v>370</v>
      </c>
      <c r="C97" s="40"/>
      <c r="D97" s="40"/>
      <c r="E97" s="40"/>
      <c r="F97" s="41"/>
      <c r="G97" s="47"/>
      <c r="H97" s="47"/>
      <c r="I97" s="47"/>
      <c r="J97" s="47"/>
    </row>
    <row r="98" spans="2:12" x14ac:dyDescent="0.45">
      <c r="B98" s="32" t="s">
        <v>371</v>
      </c>
      <c r="C98" s="47"/>
      <c r="D98" s="47"/>
      <c r="E98" s="47"/>
      <c r="F98" s="47"/>
      <c r="G98" s="47"/>
      <c r="H98" s="47"/>
      <c r="I98" s="47"/>
      <c r="J98" s="47"/>
    </row>
    <row r="99" spans="2:12" x14ac:dyDescent="0.45">
      <c r="B99" s="32"/>
      <c r="C99" s="47"/>
      <c r="D99" s="47"/>
      <c r="E99" s="47"/>
      <c r="F99" s="47"/>
      <c r="G99" s="47"/>
      <c r="H99" s="47"/>
      <c r="I99" s="47"/>
      <c r="J99" s="47"/>
    </row>
    <row r="100" spans="2:12" s="15" customFormat="1" x14ac:dyDescent="0.45">
      <c r="B100" s="28" t="s">
        <v>448</v>
      </c>
      <c r="C100" s="47"/>
      <c r="D100" s="47"/>
      <c r="E100" s="47"/>
      <c r="F100" s="47"/>
      <c r="G100" s="47"/>
      <c r="H100" s="47"/>
      <c r="I100" s="47"/>
      <c r="J100" s="47"/>
    </row>
    <row r="101" spans="2:12" s="15" customFormat="1" x14ac:dyDescent="0.45">
      <c r="B101" s="34" t="s">
        <v>372</v>
      </c>
      <c r="C101" s="47"/>
      <c r="D101" s="47"/>
      <c r="E101" s="47"/>
      <c r="F101" s="47"/>
      <c r="G101" s="47"/>
      <c r="H101" s="47"/>
      <c r="I101" s="47"/>
      <c r="J101" s="47"/>
    </row>
    <row r="102" spans="2:12" s="15" customFormat="1" x14ac:dyDescent="0.45">
      <c r="B102" s="34" t="s">
        <v>373</v>
      </c>
      <c r="C102" s="13"/>
      <c r="D102" s="13"/>
      <c r="E102" s="13"/>
      <c r="F102" s="13"/>
      <c r="G102" s="13"/>
      <c r="H102" s="13"/>
      <c r="I102" s="13"/>
      <c r="J102" s="13"/>
    </row>
    <row r="103" spans="2:12" s="15" customFormat="1" x14ac:dyDescent="0.45">
      <c r="B103" s="34" t="s">
        <v>374</v>
      </c>
      <c r="C103" s="13"/>
      <c r="D103" s="13"/>
      <c r="E103" s="13"/>
      <c r="F103" s="13"/>
      <c r="G103" s="13"/>
      <c r="H103" s="13"/>
      <c r="I103" s="13"/>
      <c r="J103" s="13"/>
    </row>
    <row r="104" spans="2:12" s="15" customFormat="1" x14ac:dyDescent="0.45">
      <c r="B104" s="13"/>
      <c r="C104" s="13"/>
      <c r="D104" s="13"/>
      <c r="E104" s="13"/>
      <c r="F104" s="13"/>
      <c r="G104" s="13"/>
      <c r="H104" s="13"/>
      <c r="I104" s="13"/>
      <c r="J104" s="13"/>
      <c r="K104" s="16"/>
    </row>
    <row r="105" spans="2:12" s="15" customFormat="1" x14ac:dyDescent="0.45">
      <c r="B105" s="28" t="s">
        <v>449</v>
      </c>
      <c r="C105" s="47"/>
      <c r="D105" s="47"/>
      <c r="E105" s="47"/>
      <c r="F105" s="47"/>
      <c r="G105" s="47"/>
      <c r="H105" s="47"/>
      <c r="I105" s="47"/>
      <c r="J105" s="47"/>
      <c r="K105" s="16"/>
    </row>
    <row r="106" spans="2:12" s="15" customFormat="1" x14ac:dyDescent="0.45">
      <c r="B106" s="34" t="s">
        <v>375</v>
      </c>
      <c r="C106" s="47"/>
      <c r="D106" s="47"/>
      <c r="E106" s="47"/>
      <c r="F106" s="47"/>
      <c r="G106" s="47"/>
      <c r="H106" s="47"/>
      <c r="I106" s="47"/>
      <c r="J106" s="47"/>
      <c r="K106" s="16"/>
      <c r="L106" s="16"/>
    </row>
    <row r="107" spans="2:12" s="15" customFormat="1" x14ac:dyDescent="0.45">
      <c r="B107" s="34" t="s">
        <v>376</v>
      </c>
      <c r="C107" s="47"/>
      <c r="D107" s="47"/>
      <c r="E107" s="47"/>
      <c r="F107" s="47"/>
      <c r="G107" s="47"/>
      <c r="H107" s="47"/>
      <c r="I107" s="47"/>
      <c r="J107" s="47"/>
      <c r="K107" s="16"/>
      <c r="L107" s="16"/>
    </row>
    <row r="108" spans="2:12" s="15" customFormat="1" x14ac:dyDescent="0.45">
      <c r="B108" s="34" t="s">
        <v>377</v>
      </c>
      <c r="C108" s="47"/>
      <c r="D108" s="47"/>
      <c r="E108" s="47"/>
      <c r="F108" s="47"/>
      <c r="G108" s="47"/>
      <c r="H108" s="47"/>
      <c r="I108" s="47"/>
      <c r="J108" s="47"/>
      <c r="K108" s="16"/>
      <c r="L108" s="16"/>
    </row>
    <row r="109" spans="2:12" s="15" customFormat="1" x14ac:dyDescent="0.45">
      <c r="B109" s="32"/>
      <c r="C109" s="47"/>
      <c r="D109" s="47"/>
      <c r="E109" s="47"/>
      <c r="F109" s="47"/>
      <c r="G109" s="47"/>
      <c r="H109" s="47"/>
      <c r="I109" s="47"/>
      <c r="J109" s="47"/>
      <c r="K109" s="16"/>
      <c r="L109" s="16"/>
    </row>
    <row r="110" spans="2:12" s="15" customFormat="1" x14ac:dyDescent="0.45">
      <c r="D110" s="139"/>
      <c r="E110" s="139"/>
      <c r="F110" s="139"/>
      <c r="G110" s="139"/>
      <c r="H110" s="139"/>
      <c r="I110" s="139"/>
      <c r="J110" s="149">
        <v>46143</v>
      </c>
      <c r="K110" s="146"/>
    </row>
    <row r="111" spans="2:12" s="15" customFormat="1" x14ac:dyDescent="0.45">
      <c r="C111" s="138"/>
      <c r="D111" s="138"/>
      <c r="E111" s="138"/>
      <c r="F111" s="138"/>
      <c r="G111" s="138"/>
      <c r="H111" s="138"/>
      <c r="I111" s="139"/>
      <c r="J111" s="47"/>
    </row>
    <row r="112" spans="2:12" s="15" customFormat="1" x14ac:dyDescent="0.45">
      <c r="C112" s="138"/>
      <c r="D112" s="138"/>
      <c r="E112" s="138"/>
      <c r="F112" s="138"/>
      <c r="G112" s="138"/>
      <c r="H112" s="138"/>
      <c r="I112" s="139"/>
      <c r="J112" s="47"/>
    </row>
    <row r="113" spans="2:14" s="15" customFormat="1" x14ac:dyDescent="0.45">
      <c r="B113" s="16"/>
      <c r="C113" s="16"/>
      <c r="D113" s="16"/>
      <c r="E113" s="16"/>
      <c r="F113" s="16"/>
      <c r="G113" s="16"/>
      <c r="H113" s="16"/>
      <c r="I113" s="25"/>
      <c r="J113" s="47"/>
    </row>
    <row r="114" spans="2:14" s="15" customFormat="1" x14ac:dyDescent="0.45">
      <c r="B114" s="16"/>
      <c r="C114" s="16"/>
      <c r="D114" s="16"/>
      <c r="E114" s="16"/>
      <c r="F114" s="16"/>
      <c r="G114" s="16"/>
      <c r="H114" s="16"/>
      <c r="I114" s="25"/>
      <c r="J114" s="47"/>
    </row>
    <row r="115" spans="2:14" s="15" customFormat="1" x14ac:dyDescent="0.45">
      <c r="B115" s="135" t="s">
        <v>30</v>
      </c>
      <c r="C115" s="135" t="s">
        <v>31</v>
      </c>
      <c r="D115" s="44" t="s">
        <v>32</v>
      </c>
      <c r="E115" s="44"/>
      <c r="F115" s="44"/>
      <c r="G115" s="44"/>
      <c r="H115" s="25"/>
      <c r="J115" s="47"/>
    </row>
    <row r="116" spans="2:14" s="15" customFormat="1" x14ac:dyDescent="0.45">
      <c r="B116" s="135"/>
      <c r="C116" s="135" t="s">
        <v>33</v>
      </c>
      <c r="D116" s="44" t="s">
        <v>34</v>
      </c>
      <c r="E116" s="44"/>
      <c r="F116" s="44"/>
      <c r="G116" s="44"/>
      <c r="H116" s="25"/>
      <c r="I116" s="135"/>
      <c r="J116" s="47"/>
    </row>
    <row r="117" spans="2:14" s="15" customFormat="1" x14ac:dyDescent="0.45">
      <c r="B117" s="135"/>
      <c r="C117" s="135" t="s">
        <v>35</v>
      </c>
      <c r="D117" s="44" t="s">
        <v>36</v>
      </c>
      <c r="E117" s="44"/>
      <c r="F117" s="44"/>
      <c r="G117" s="44"/>
      <c r="H117" s="135" t="s">
        <v>37</v>
      </c>
      <c r="I117" s="135"/>
      <c r="J117" s="47"/>
    </row>
    <row r="118" spans="2:14" s="15" customFormat="1" x14ac:dyDescent="0.45">
      <c r="B118" s="135"/>
      <c r="C118" s="135"/>
      <c r="D118" s="135"/>
      <c r="E118" s="135"/>
      <c r="F118" s="135"/>
      <c r="G118" s="135"/>
      <c r="H118" s="135"/>
      <c r="I118" s="6"/>
      <c r="J118" s="47"/>
    </row>
    <row r="119" spans="2:14" s="15" customFormat="1" x14ac:dyDescent="0.45">
      <c r="B119" s="135"/>
      <c r="C119" s="135"/>
      <c r="D119" s="135"/>
      <c r="E119" s="135"/>
      <c r="F119" s="135"/>
      <c r="G119" s="135"/>
      <c r="H119" s="135"/>
      <c r="I119" s="6"/>
      <c r="J119" s="47"/>
    </row>
    <row r="120" spans="2:14" s="15" customFormat="1" x14ac:dyDescent="0.45">
      <c r="B120" s="135" t="s">
        <v>38</v>
      </c>
      <c r="C120" s="135" t="s">
        <v>31</v>
      </c>
      <c r="D120" s="44" t="s">
        <v>39</v>
      </c>
      <c r="E120" s="44"/>
      <c r="F120" s="44"/>
      <c r="G120" s="44"/>
      <c r="H120" s="6"/>
      <c r="J120" s="32"/>
      <c r="N120" s="114" t="s">
        <v>19</v>
      </c>
    </row>
    <row r="121" spans="2:14" s="15" customFormat="1" x14ac:dyDescent="0.45">
      <c r="B121" s="135"/>
      <c r="C121" s="135" t="s">
        <v>33</v>
      </c>
      <c r="D121" s="44" t="s">
        <v>15</v>
      </c>
      <c r="E121" s="44"/>
      <c r="F121" s="44"/>
      <c r="G121" s="44"/>
      <c r="H121" s="6"/>
      <c r="J121" s="32"/>
      <c r="N121" s="114" t="s">
        <v>19</v>
      </c>
    </row>
    <row r="122" spans="2:14" s="15" customFormat="1" x14ac:dyDescent="0.45">
      <c r="B122" s="135"/>
      <c r="C122" s="135" t="s">
        <v>35</v>
      </c>
      <c r="D122" s="44" t="s">
        <v>14</v>
      </c>
      <c r="E122" s="44"/>
      <c r="F122" s="44"/>
      <c r="G122" s="44"/>
      <c r="H122" s="135" t="s">
        <v>37</v>
      </c>
      <c r="J122" s="32"/>
      <c r="N122" s="114" t="s">
        <v>19</v>
      </c>
    </row>
    <row r="123" spans="2:14" s="15" customFormat="1" x14ac:dyDescent="0.45">
      <c r="B123" s="135"/>
      <c r="C123" s="135"/>
      <c r="D123" s="44"/>
      <c r="E123" s="44"/>
      <c r="F123" s="44"/>
      <c r="G123" s="44"/>
      <c r="H123" s="135"/>
      <c r="J123" s="32"/>
    </row>
    <row r="124" spans="2:14" s="15" customFormat="1" x14ac:dyDescent="0.45">
      <c r="B124" s="135"/>
      <c r="C124" s="135"/>
      <c r="D124" s="44"/>
      <c r="E124" s="44"/>
      <c r="F124" s="44"/>
      <c r="G124" s="44"/>
      <c r="H124" s="135"/>
      <c r="J124" s="32"/>
    </row>
    <row r="125" spans="2:14" s="15" customFormat="1" x14ac:dyDescent="0.45">
      <c r="B125" s="135"/>
      <c r="C125" s="135"/>
      <c r="D125" s="135"/>
      <c r="E125" s="135"/>
      <c r="F125" s="135"/>
      <c r="G125" s="7"/>
      <c r="H125" s="7"/>
      <c r="I125" s="135"/>
      <c r="J125" s="32"/>
    </row>
    <row r="126" spans="2:14" s="15" customFormat="1" x14ac:dyDescent="0.45">
      <c r="B126" s="28" t="s">
        <v>378</v>
      </c>
      <c r="C126" s="135"/>
      <c r="D126" s="135"/>
      <c r="E126" s="135"/>
      <c r="F126" s="135"/>
      <c r="G126" s="7"/>
      <c r="H126" s="7"/>
      <c r="I126" s="135"/>
      <c r="J126" s="32"/>
    </row>
    <row r="127" spans="2:14" s="15" customFormat="1" x14ac:dyDescent="0.45">
      <c r="B127" s="32" t="s">
        <v>379</v>
      </c>
      <c r="C127" s="135"/>
      <c r="D127" s="135"/>
      <c r="E127" s="135"/>
      <c r="F127" s="135"/>
      <c r="G127" s="7"/>
      <c r="H127" s="7"/>
      <c r="I127" s="135"/>
      <c r="J127" s="32"/>
    </row>
    <row r="128" spans="2:14" s="15" customFormat="1" ht="18" customHeight="1" thickBot="1" x14ac:dyDescent="0.5">
      <c r="B128" s="32" t="s">
        <v>380</v>
      </c>
      <c r="C128" s="135"/>
      <c r="D128" s="135"/>
      <c r="E128" s="135"/>
      <c r="F128" s="135"/>
      <c r="G128" s="7"/>
      <c r="H128" s="7"/>
      <c r="I128" s="135"/>
      <c r="J128" s="32"/>
    </row>
    <row r="129" spans="2:12" s="15" customFormat="1" ht="18" customHeight="1" thickBot="1" x14ac:dyDescent="0.5">
      <c r="B129" s="165" t="s">
        <v>381</v>
      </c>
      <c r="C129" s="166"/>
      <c r="D129" s="194" t="s">
        <v>382</v>
      </c>
      <c r="E129" s="166"/>
      <c r="F129" s="194" t="s">
        <v>383</v>
      </c>
      <c r="G129" s="166"/>
      <c r="H129" s="194" t="s">
        <v>384</v>
      </c>
      <c r="I129" s="166"/>
      <c r="J129" s="194" t="s">
        <v>385</v>
      </c>
      <c r="K129" s="205"/>
      <c r="L129" s="166"/>
    </row>
    <row r="130" spans="2:12" s="15" customFormat="1" x14ac:dyDescent="0.45">
      <c r="B130" s="171" t="s">
        <v>386</v>
      </c>
      <c r="C130" s="156"/>
      <c r="D130" s="159" t="s">
        <v>387</v>
      </c>
      <c r="E130" s="158"/>
      <c r="F130" s="159" t="s">
        <v>388</v>
      </c>
      <c r="G130" s="158"/>
      <c r="H130" s="159"/>
      <c r="I130" s="158"/>
      <c r="J130" s="159"/>
      <c r="K130" s="179"/>
      <c r="L130" s="158"/>
    </row>
    <row r="131" spans="2:12" s="15" customFormat="1" x14ac:dyDescent="0.45">
      <c r="B131" s="155"/>
      <c r="C131" s="156"/>
      <c r="D131" s="150" t="s">
        <v>389</v>
      </c>
      <c r="E131" s="152"/>
      <c r="F131" s="150" t="s">
        <v>388</v>
      </c>
      <c r="G131" s="152"/>
      <c r="H131" s="150"/>
      <c r="I131" s="152"/>
      <c r="J131" s="150"/>
      <c r="K131" s="151"/>
      <c r="L131" s="152"/>
    </row>
    <row r="132" spans="2:12" s="15" customFormat="1" x14ac:dyDescent="0.45">
      <c r="B132" s="157"/>
      <c r="C132" s="158"/>
      <c r="D132" s="150" t="s">
        <v>390</v>
      </c>
      <c r="E132" s="152"/>
      <c r="F132" s="150" t="s">
        <v>391</v>
      </c>
      <c r="G132" s="152"/>
      <c r="H132" s="150" t="s">
        <v>392</v>
      </c>
      <c r="I132" s="152"/>
      <c r="J132" s="150" t="s">
        <v>393</v>
      </c>
      <c r="K132" s="151"/>
      <c r="L132" s="152"/>
    </row>
    <row r="133" spans="2:12" s="15" customFormat="1" ht="17.399999999999999" customHeight="1" x14ac:dyDescent="0.45">
      <c r="B133" s="153" t="s">
        <v>394</v>
      </c>
      <c r="C133" s="154"/>
      <c r="D133" s="150" t="s">
        <v>395</v>
      </c>
      <c r="E133" s="152"/>
      <c r="F133" s="150" t="s">
        <v>388</v>
      </c>
      <c r="G133" s="152"/>
      <c r="H133" s="150"/>
      <c r="I133" s="152"/>
      <c r="J133" s="163" t="s">
        <v>396</v>
      </c>
      <c r="K133" s="151"/>
      <c r="L133" s="152"/>
    </row>
    <row r="134" spans="2:12" s="15" customFormat="1" ht="17.399999999999999" customHeight="1" x14ac:dyDescent="0.45">
      <c r="B134" s="155"/>
      <c r="C134" s="156"/>
      <c r="D134" s="150" t="s">
        <v>397</v>
      </c>
      <c r="E134" s="152"/>
      <c r="F134" s="150" t="s">
        <v>388</v>
      </c>
      <c r="G134" s="152"/>
      <c r="H134" s="150"/>
      <c r="I134" s="152"/>
      <c r="J134" s="195" t="s">
        <v>398</v>
      </c>
      <c r="K134" s="196"/>
      <c r="L134" s="197"/>
    </row>
    <row r="135" spans="2:12" s="15" customFormat="1" ht="38" customHeight="1" x14ac:dyDescent="0.45">
      <c r="B135" s="157"/>
      <c r="C135" s="158"/>
      <c r="D135" s="150" t="s">
        <v>399</v>
      </c>
      <c r="E135" s="152"/>
      <c r="F135" s="150" t="s">
        <v>400</v>
      </c>
      <c r="G135" s="152"/>
      <c r="H135" s="150" t="s">
        <v>401</v>
      </c>
      <c r="I135" s="152"/>
      <c r="J135" s="164"/>
      <c r="K135" s="179"/>
      <c r="L135" s="198"/>
    </row>
    <row r="136" spans="2:12" s="15" customFormat="1" ht="42" customHeight="1" x14ac:dyDescent="0.45">
      <c r="B136" s="153" t="s">
        <v>402</v>
      </c>
      <c r="C136" s="154"/>
      <c r="D136" s="150" t="s">
        <v>403</v>
      </c>
      <c r="E136" s="152"/>
      <c r="F136" s="150" t="s">
        <v>391</v>
      </c>
      <c r="G136" s="152"/>
      <c r="H136" s="150" t="s">
        <v>392</v>
      </c>
      <c r="I136" s="152"/>
      <c r="J136" s="163" t="s">
        <v>404</v>
      </c>
      <c r="K136" s="151"/>
      <c r="L136" s="152"/>
    </row>
    <row r="137" spans="2:12" s="15" customFormat="1" x14ac:dyDescent="0.45">
      <c r="B137" s="155"/>
      <c r="C137" s="156"/>
      <c r="D137" s="150" t="s">
        <v>405</v>
      </c>
      <c r="E137" s="152"/>
      <c r="F137" s="150" t="s">
        <v>391</v>
      </c>
      <c r="G137" s="152"/>
      <c r="H137" s="150" t="s">
        <v>392</v>
      </c>
      <c r="I137" s="152"/>
      <c r="J137" s="150" t="s">
        <v>393</v>
      </c>
      <c r="K137" s="151"/>
      <c r="L137" s="152"/>
    </row>
    <row r="138" spans="2:12" s="15" customFormat="1" x14ac:dyDescent="0.45">
      <c r="B138" s="155"/>
      <c r="C138" s="156"/>
      <c r="D138" s="150" t="s">
        <v>406</v>
      </c>
      <c r="E138" s="152"/>
      <c r="F138" s="150" t="s">
        <v>391</v>
      </c>
      <c r="G138" s="152"/>
      <c r="H138" s="150" t="s">
        <v>392</v>
      </c>
      <c r="I138" s="152"/>
      <c r="J138" s="150" t="s">
        <v>393</v>
      </c>
      <c r="K138" s="151"/>
      <c r="L138" s="152"/>
    </row>
    <row r="139" spans="2:12" s="15" customFormat="1" x14ac:dyDescent="0.45">
      <c r="B139" s="157"/>
      <c r="C139" s="158"/>
      <c r="D139" s="150" t="s">
        <v>407</v>
      </c>
      <c r="E139" s="152"/>
      <c r="F139" s="150"/>
      <c r="G139" s="152"/>
      <c r="H139" s="150" t="s">
        <v>388</v>
      </c>
      <c r="I139" s="152"/>
      <c r="J139" s="150"/>
      <c r="K139" s="151"/>
      <c r="L139" s="152"/>
    </row>
    <row r="140" spans="2:12" s="15" customFormat="1" x14ac:dyDescent="0.45">
      <c r="B140" s="153" t="s">
        <v>408</v>
      </c>
      <c r="C140" s="154"/>
      <c r="D140" s="150" t="s">
        <v>409</v>
      </c>
      <c r="E140" s="152"/>
      <c r="F140" s="150" t="s">
        <v>388</v>
      </c>
      <c r="G140" s="152"/>
      <c r="H140" s="150" t="s">
        <v>388</v>
      </c>
      <c r="I140" s="152"/>
      <c r="J140" s="195" t="s">
        <v>410</v>
      </c>
      <c r="K140" s="151"/>
      <c r="L140" s="208"/>
    </row>
    <row r="141" spans="2:12" s="15" customFormat="1" x14ac:dyDescent="0.45">
      <c r="B141" s="155"/>
      <c r="C141" s="156"/>
      <c r="D141" s="150" t="s">
        <v>411</v>
      </c>
      <c r="E141" s="152"/>
      <c r="F141" s="150" t="s">
        <v>391</v>
      </c>
      <c r="G141" s="152"/>
      <c r="H141" s="150" t="s">
        <v>392</v>
      </c>
      <c r="I141" s="152"/>
      <c r="J141" s="150" t="s">
        <v>412</v>
      </c>
      <c r="K141" s="151"/>
      <c r="L141" s="152"/>
    </row>
    <row r="142" spans="2:12" s="15" customFormat="1" ht="17.399999999999999" customHeight="1" x14ac:dyDescent="0.45">
      <c r="B142" s="157"/>
      <c r="C142" s="158"/>
      <c r="D142" s="150" t="s">
        <v>413</v>
      </c>
      <c r="E142" s="152"/>
      <c r="F142" s="150" t="s">
        <v>388</v>
      </c>
      <c r="G142" s="152"/>
      <c r="H142" s="150" t="s">
        <v>388</v>
      </c>
      <c r="I142" s="152"/>
      <c r="J142" s="195" t="s">
        <v>410</v>
      </c>
      <c r="K142" s="151"/>
      <c r="L142" s="208"/>
    </row>
    <row r="143" spans="2:12" s="15" customFormat="1" x14ac:dyDescent="0.45">
      <c r="B143" s="153" t="s">
        <v>414</v>
      </c>
      <c r="C143" s="152"/>
      <c r="D143" s="150" t="s">
        <v>415</v>
      </c>
      <c r="E143" s="152"/>
      <c r="F143" s="150"/>
      <c r="G143" s="152"/>
      <c r="H143" s="150" t="s">
        <v>388</v>
      </c>
      <c r="I143" s="152"/>
      <c r="J143" s="150"/>
      <c r="K143" s="151"/>
      <c r="L143" s="152"/>
    </row>
    <row r="144" spans="2:12" s="15" customFormat="1" ht="17.399999999999999" customHeight="1" x14ac:dyDescent="0.45">
      <c r="B144" s="153" t="s">
        <v>416</v>
      </c>
      <c r="C144" s="154"/>
      <c r="D144" s="163" t="s">
        <v>417</v>
      </c>
      <c r="E144" s="154"/>
      <c r="F144" s="163"/>
      <c r="G144" s="154"/>
      <c r="H144" s="163" t="s">
        <v>388</v>
      </c>
      <c r="I144" s="154"/>
      <c r="J144" s="150"/>
      <c r="K144" s="196"/>
      <c r="L144" s="154"/>
    </row>
    <row r="145" spans="2:12" s="15" customFormat="1" ht="18" customHeight="1" thickBot="1" x14ac:dyDescent="0.5">
      <c r="B145" s="157"/>
      <c r="C145" s="158"/>
      <c r="D145" s="164"/>
      <c r="E145" s="158"/>
      <c r="F145" s="164"/>
      <c r="G145" s="158"/>
      <c r="H145" s="164"/>
      <c r="I145" s="158"/>
      <c r="J145" s="164"/>
      <c r="K145" s="179"/>
      <c r="L145" s="158"/>
    </row>
    <row r="146" spans="2:12" s="15" customFormat="1" ht="16.75" customHeight="1" x14ac:dyDescent="0.45">
      <c r="B146" s="63" t="s">
        <v>418</v>
      </c>
      <c r="C146" s="135"/>
      <c r="D146" s="135"/>
      <c r="E146" s="135"/>
      <c r="F146" s="7"/>
      <c r="G146" s="7"/>
      <c r="H146" s="7"/>
      <c r="J146" s="32"/>
    </row>
    <row r="147" spans="2:12" s="15" customFormat="1" x14ac:dyDescent="0.45">
      <c r="I147" s="16"/>
    </row>
    <row r="148" spans="2:12" s="15" customFormat="1" x14ac:dyDescent="0.45">
      <c r="I148" s="16"/>
    </row>
    <row r="149" spans="2:12" s="15" customFormat="1" x14ac:dyDescent="0.45">
      <c r="I149" s="16"/>
    </row>
  </sheetData>
  <mergeCells count="139">
    <mergeCell ref="B144:C145"/>
    <mergeCell ref="D28:K28"/>
    <mergeCell ref="D137:E137"/>
    <mergeCell ref="F131:G131"/>
    <mergeCell ref="H131:I131"/>
    <mergeCell ref="F140:G140"/>
    <mergeCell ref="H140:I140"/>
    <mergeCell ref="D130:E130"/>
    <mergeCell ref="J134:L135"/>
    <mergeCell ref="F130:G130"/>
    <mergeCell ref="D68:E68"/>
    <mergeCell ref="J131:L131"/>
    <mergeCell ref="C28:C29"/>
    <mergeCell ref="J140:L140"/>
    <mergeCell ref="D132:E132"/>
    <mergeCell ref="F132:G132"/>
    <mergeCell ref="F144:G145"/>
    <mergeCell ref="F69:G69"/>
    <mergeCell ref="H144:I145"/>
    <mergeCell ref="H29:I29"/>
    <mergeCell ref="H134:I134"/>
    <mergeCell ref="J144:L145"/>
    <mergeCell ref="J20:L20"/>
    <mergeCell ref="J69:K69"/>
    <mergeCell ref="E88:F88"/>
    <mergeCell ref="E82:F82"/>
    <mergeCell ref="G82:H82"/>
    <mergeCell ref="J30:K30"/>
    <mergeCell ref="D136:E136"/>
    <mergeCell ref="F129:G129"/>
    <mergeCell ref="E83:F84"/>
    <mergeCell ref="H138:I138"/>
    <mergeCell ref="B7:L7"/>
    <mergeCell ref="F137:G137"/>
    <mergeCell ref="H137:I137"/>
    <mergeCell ref="D139:E139"/>
    <mergeCell ref="C85:D85"/>
    <mergeCell ref="F139:G139"/>
    <mergeCell ref="J137:L137"/>
    <mergeCell ref="C81:D82"/>
    <mergeCell ref="C84:D84"/>
    <mergeCell ref="C80:D80"/>
    <mergeCell ref="J139:L139"/>
    <mergeCell ref="J129:L129"/>
    <mergeCell ref="J138:L138"/>
    <mergeCell ref="E86:F86"/>
    <mergeCell ref="B19:C19"/>
    <mergeCell ref="J18:L18"/>
    <mergeCell ref="E80:F80"/>
    <mergeCell ref="G80:H80"/>
    <mergeCell ref="E89:F89"/>
    <mergeCell ref="G89:H89"/>
    <mergeCell ref="I80:K80"/>
    <mergeCell ref="D30:E30"/>
    <mergeCell ref="I89:K89"/>
    <mergeCell ref="J19:L19"/>
    <mergeCell ref="B3:L3"/>
    <mergeCell ref="D131:E131"/>
    <mergeCell ref="B18:C18"/>
    <mergeCell ref="D140:E140"/>
    <mergeCell ref="H130:I130"/>
    <mergeCell ref="H68:I68"/>
    <mergeCell ref="I86:K87"/>
    <mergeCell ref="F30:G30"/>
    <mergeCell ref="F138:G138"/>
    <mergeCell ref="H132:I132"/>
    <mergeCell ref="J133:L133"/>
    <mergeCell ref="H69:I69"/>
    <mergeCell ref="E90:F90"/>
    <mergeCell ref="I81:K81"/>
    <mergeCell ref="I90:K90"/>
    <mergeCell ref="D19:I19"/>
    <mergeCell ref="C89:D90"/>
    <mergeCell ref="B6:L6"/>
    <mergeCell ref="D29:E29"/>
    <mergeCell ref="F136:G136"/>
    <mergeCell ref="G90:H90"/>
    <mergeCell ref="H136:I136"/>
    <mergeCell ref="D129:E129"/>
    <mergeCell ref="I85:K85"/>
    <mergeCell ref="D144:E145"/>
    <mergeCell ref="D134:E134"/>
    <mergeCell ref="F134:G134"/>
    <mergeCell ref="D20:I20"/>
    <mergeCell ref="I83:K84"/>
    <mergeCell ref="E85:F85"/>
    <mergeCell ref="H139:I139"/>
    <mergeCell ref="G85:H85"/>
    <mergeCell ref="B133:C135"/>
    <mergeCell ref="J136:L136"/>
    <mergeCell ref="B136:C139"/>
    <mergeCell ref="D67:K67"/>
    <mergeCell ref="J110:K110"/>
    <mergeCell ref="B129:C129"/>
    <mergeCell ref="C83:D83"/>
    <mergeCell ref="D138:E138"/>
    <mergeCell ref="G86:H86"/>
    <mergeCell ref="J143:L143"/>
    <mergeCell ref="D142:E142"/>
    <mergeCell ref="C86:D86"/>
    <mergeCell ref="G83:H84"/>
    <mergeCell ref="J29:K29"/>
    <mergeCell ref="F141:G141"/>
    <mergeCell ref="B143:C143"/>
    <mergeCell ref="D18:I18"/>
    <mergeCell ref="H142:I142"/>
    <mergeCell ref="H129:I129"/>
    <mergeCell ref="D141:E141"/>
    <mergeCell ref="I88:K88"/>
    <mergeCell ref="D135:E135"/>
    <mergeCell ref="I82:K82"/>
    <mergeCell ref="F135:G135"/>
    <mergeCell ref="J130:L130"/>
    <mergeCell ref="J142:L142"/>
    <mergeCell ref="C87:D88"/>
    <mergeCell ref="J141:L141"/>
    <mergeCell ref="B20:C20"/>
    <mergeCell ref="E81:F81"/>
    <mergeCell ref="D133:E133"/>
    <mergeCell ref="H141:I141"/>
    <mergeCell ref="H135:I135"/>
    <mergeCell ref="H30:I30"/>
    <mergeCell ref="D69:E69"/>
    <mergeCell ref="G87:H88"/>
    <mergeCell ref="C67:C68"/>
    <mergeCell ref="G81:H81"/>
    <mergeCell ref="F29:G29"/>
    <mergeCell ref="F68:G68"/>
    <mergeCell ref="J132:L132"/>
    <mergeCell ref="F143:G143"/>
    <mergeCell ref="B140:C142"/>
    <mergeCell ref="H143:I143"/>
    <mergeCell ref="J68:K68"/>
    <mergeCell ref="E87:F87"/>
    <mergeCell ref="F133:G133"/>
    <mergeCell ref="H133:I133"/>
    <mergeCell ref="F142:G142"/>
    <mergeCell ref="B130:C132"/>
    <mergeCell ref="D143:E143"/>
  </mergeCells>
  <phoneticPr fontId="4" type="noConversion"/>
  <pageMargins left="0.7" right="0.7" top="0.75" bottom="0.75" header="0.3" footer="0.3"/>
  <pageSetup paperSize="9" scale="61" fitToHeight="0" orientation="portrait" r:id="rId1"/>
  <rowBreaks count="1" manualBreakCount="1">
    <brk id="82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98"/>
  <sheetViews>
    <sheetView showGridLines="0" view="pageBreakPreview" topLeftCell="A166" zoomScale="85" zoomScaleNormal="85" zoomScaleSheetLayoutView="85" workbookViewId="0">
      <selection activeCell="K47" sqref="K47"/>
    </sheetView>
  </sheetViews>
  <sheetFormatPr defaultRowHeight="17" x14ac:dyDescent="0.45"/>
  <cols>
    <col min="1" max="1" width="2.6640625" style="15" customWidth="1"/>
    <col min="2" max="8" width="12.6640625" style="15" customWidth="1"/>
    <col min="9" max="9" width="17.08203125" style="16" customWidth="1"/>
    <col min="10" max="10" width="2.4140625" style="15" customWidth="1"/>
    <col min="11" max="11" width="8.6640625" style="114" customWidth="1"/>
  </cols>
  <sheetData>
    <row r="1" spans="1:11" x14ac:dyDescent="0.45">
      <c r="A1" s="114"/>
      <c r="B1" s="114"/>
      <c r="C1" s="114"/>
      <c r="D1" s="114"/>
      <c r="E1" s="114"/>
      <c r="F1" s="114"/>
      <c r="G1" s="114"/>
      <c r="H1" s="114"/>
      <c r="I1" s="114"/>
      <c r="J1" s="114"/>
    </row>
    <row r="2" spans="1:11" x14ac:dyDescent="0.45">
      <c r="A2" s="114"/>
      <c r="B2" s="114"/>
      <c r="C2" s="114"/>
      <c r="D2" s="114"/>
      <c r="E2" s="114"/>
      <c r="F2" s="114"/>
      <c r="G2" s="114"/>
      <c r="H2" s="114"/>
      <c r="I2" s="114"/>
      <c r="J2" s="114"/>
    </row>
    <row r="3" spans="1:11" ht="20.399999999999999" customHeight="1" x14ac:dyDescent="0.45">
      <c r="A3" s="199" t="s">
        <v>450</v>
      </c>
      <c r="B3" s="146"/>
      <c r="C3" s="146"/>
      <c r="D3" s="146"/>
      <c r="E3" s="146"/>
      <c r="F3" s="146"/>
      <c r="G3" s="146"/>
      <c r="H3" s="146"/>
      <c r="I3" s="147"/>
      <c r="J3" s="146"/>
    </row>
    <row r="4" spans="1:11" x14ac:dyDescent="0.45">
      <c r="B4" s="25"/>
      <c r="C4" s="25"/>
      <c r="D4" s="25"/>
      <c r="E4" s="25"/>
      <c r="F4" s="25"/>
      <c r="G4" s="25"/>
      <c r="H4" s="25"/>
      <c r="I4" s="25"/>
      <c r="J4" s="25"/>
    </row>
    <row r="5" spans="1:11" x14ac:dyDescent="0.45">
      <c r="A5" s="44"/>
      <c r="B5" s="218"/>
      <c r="C5" s="146"/>
      <c r="D5" s="146"/>
      <c r="E5" s="146"/>
      <c r="F5" s="146"/>
      <c r="G5" s="146"/>
      <c r="H5" s="146"/>
      <c r="I5" s="147"/>
      <c r="J5" s="146"/>
    </row>
    <row r="6" spans="1:11" x14ac:dyDescent="0.45">
      <c r="A6" s="148" t="s">
        <v>419</v>
      </c>
      <c r="B6" s="146"/>
      <c r="C6" s="146"/>
      <c r="D6" s="146"/>
      <c r="E6" s="146"/>
      <c r="F6" s="146"/>
      <c r="G6" s="146"/>
      <c r="H6" s="146"/>
      <c r="I6" s="147"/>
      <c r="J6" s="146"/>
      <c r="K6" s="114" t="s">
        <v>19</v>
      </c>
    </row>
    <row r="7" spans="1:11" x14ac:dyDescent="0.45">
      <c r="A7" s="218" t="s">
        <v>451</v>
      </c>
      <c r="B7" s="146"/>
      <c r="C7" s="146"/>
      <c r="D7" s="146"/>
      <c r="E7" s="146"/>
      <c r="F7" s="146"/>
      <c r="G7" s="146"/>
      <c r="H7" s="146"/>
      <c r="I7" s="147"/>
      <c r="J7" s="146"/>
    </row>
    <row r="8" spans="1:11" x14ac:dyDescent="0.45">
      <c r="B8" s="135"/>
      <c r="C8" s="135"/>
      <c r="D8" s="135"/>
      <c r="E8" s="135"/>
      <c r="F8" s="135"/>
      <c r="G8" s="135"/>
      <c r="H8" s="135"/>
      <c r="I8" s="135"/>
      <c r="J8" s="135"/>
    </row>
    <row r="9" spans="1:11" x14ac:dyDescent="0.45">
      <c r="B9" s="25"/>
      <c r="C9" s="25"/>
      <c r="D9" s="25"/>
      <c r="E9" s="25"/>
      <c r="F9" s="25"/>
      <c r="G9" s="25"/>
      <c r="H9" s="25"/>
      <c r="I9" s="25"/>
      <c r="J9" s="25"/>
    </row>
    <row r="10" spans="1:11" x14ac:dyDescent="0.45">
      <c r="A10" s="44"/>
      <c r="B10" s="218" t="s">
        <v>452</v>
      </c>
      <c r="C10" s="146"/>
      <c r="D10" s="146"/>
      <c r="E10" s="146"/>
      <c r="F10" s="146"/>
      <c r="G10" s="146"/>
      <c r="H10" s="146"/>
      <c r="I10" s="147"/>
      <c r="J10" s="146"/>
    </row>
    <row r="11" spans="1:11" x14ac:dyDescent="0.45">
      <c r="B11" s="135"/>
      <c r="C11" s="135"/>
      <c r="D11" s="135"/>
      <c r="E11" s="135"/>
      <c r="F11" s="135"/>
      <c r="G11" s="135"/>
      <c r="H11" s="135"/>
      <c r="I11" s="135"/>
      <c r="J11" s="135"/>
    </row>
    <row r="12" spans="1:11" x14ac:dyDescent="0.45">
      <c r="B12" s="135"/>
      <c r="C12" s="135"/>
      <c r="D12" s="135"/>
      <c r="E12" s="135"/>
      <c r="F12" s="135"/>
      <c r="G12" s="135"/>
      <c r="H12" s="135"/>
      <c r="I12" s="135"/>
      <c r="J12" s="135"/>
    </row>
    <row r="13" spans="1:11" x14ac:dyDescent="0.45">
      <c r="B13" s="28" t="s">
        <v>40</v>
      </c>
      <c r="C13" s="28"/>
      <c r="D13" s="28"/>
      <c r="E13" s="28"/>
      <c r="F13" s="28"/>
      <c r="G13" s="28"/>
      <c r="H13" s="28"/>
      <c r="I13" s="28"/>
      <c r="J13" s="28"/>
    </row>
    <row r="14" spans="1:11" x14ac:dyDescent="0.45">
      <c r="B14" s="34" t="s">
        <v>453</v>
      </c>
      <c r="C14" s="32"/>
      <c r="D14" s="32"/>
      <c r="E14" s="32"/>
      <c r="F14" s="32"/>
      <c r="G14" s="32"/>
      <c r="H14" s="32"/>
      <c r="I14" s="32"/>
      <c r="J14" s="32"/>
    </row>
    <row r="15" spans="1:11" x14ac:dyDescent="0.45">
      <c r="B15" s="34" t="s">
        <v>454</v>
      </c>
      <c r="C15" s="32"/>
      <c r="D15" s="32"/>
      <c r="E15" s="32"/>
      <c r="F15" s="32"/>
      <c r="G15" s="32"/>
      <c r="H15" s="32"/>
      <c r="I15" s="32"/>
      <c r="J15" s="32"/>
    </row>
    <row r="16" spans="1:11" x14ac:dyDescent="0.45">
      <c r="B16" s="32"/>
      <c r="C16" s="32"/>
      <c r="D16" s="32"/>
      <c r="E16" s="32"/>
      <c r="F16" s="32"/>
      <c r="G16" s="32"/>
      <c r="H16" s="32"/>
      <c r="I16" s="32"/>
      <c r="J16" s="32"/>
    </row>
    <row r="17" spans="2:11" x14ac:dyDescent="0.45">
      <c r="B17" s="28" t="s">
        <v>455</v>
      </c>
      <c r="C17" s="28"/>
      <c r="D17" s="28"/>
      <c r="E17" s="28"/>
      <c r="F17" s="28"/>
      <c r="G17" s="28"/>
      <c r="H17" s="28"/>
      <c r="I17" s="28"/>
      <c r="J17" s="28"/>
    </row>
    <row r="18" spans="2:11" x14ac:dyDescent="0.45">
      <c r="B18" s="34" t="s">
        <v>456</v>
      </c>
      <c r="C18" s="32"/>
      <c r="D18" s="32"/>
      <c r="E18" s="32"/>
      <c r="F18" s="32"/>
      <c r="G18" s="32"/>
      <c r="H18" s="32"/>
      <c r="I18" s="32"/>
      <c r="J18" s="32"/>
    </row>
    <row r="19" spans="2:11" x14ac:dyDescent="0.45">
      <c r="B19" s="34" t="s">
        <v>457</v>
      </c>
      <c r="C19" s="47"/>
      <c r="D19" s="47"/>
      <c r="E19" s="47"/>
      <c r="F19" s="47"/>
      <c r="G19" s="47"/>
      <c r="H19" s="47"/>
      <c r="I19" s="47"/>
      <c r="J19" s="47"/>
    </row>
    <row r="20" spans="2:11" x14ac:dyDescent="0.45">
      <c r="B20" s="34" t="s">
        <v>458</v>
      </c>
      <c r="C20" s="32"/>
      <c r="D20" s="32"/>
      <c r="E20" s="32"/>
      <c r="F20" s="32"/>
      <c r="G20" s="32"/>
      <c r="H20" s="32"/>
      <c r="I20" s="32"/>
      <c r="J20" s="32"/>
    </row>
    <row r="21" spans="2:11" x14ac:dyDescent="0.45">
      <c r="B21" s="34" t="s">
        <v>459</v>
      </c>
      <c r="C21" s="32"/>
      <c r="D21" s="32"/>
      <c r="E21" s="32"/>
      <c r="F21" s="32"/>
      <c r="G21" s="32"/>
      <c r="H21" s="32"/>
      <c r="I21" s="32"/>
      <c r="J21" s="32"/>
    </row>
    <row r="22" spans="2:11" x14ac:dyDescent="0.45">
      <c r="B22" s="34" t="s">
        <v>460</v>
      </c>
      <c r="C22" s="32"/>
      <c r="D22" s="32"/>
      <c r="E22" s="32"/>
      <c r="F22" s="32"/>
      <c r="G22" s="32"/>
      <c r="H22" s="32"/>
      <c r="I22" s="32"/>
      <c r="J22" s="32"/>
    </row>
    <row r="23" spans="2:11" x14ac:dyDescent="0.45">
      <c r="B23" s="34"/>
      <c r="C23" s="32"/>
      <c r="D23" s="32"/>
      <c r="E23" s="32"/>
      <c r="F23" s="32"/>
      <c r="G23" s="32"/>
      <c r="H23" s="32"/>
      <c r="I23" s="32"/>
      <c r="J23" s="32"/>
    </row>
    <row r="24" spans="2:11" x14ac:dyDescent="0.45">
      <c r="B24" s="17" t="s">
        <v>461</v>
      </c>
      <c r="C24" s="28"/>
      <c r="D24" s="28"/>
      <c r="E24" s="28"/>
      <c r="F24" s="28"/>
      <c r="G24" s="28"/>
      <c r="H24" s="28"/>
      <c r="I24" s="28"/>
      <c r="J24" s="28"/>
    </row>
    <row r="25" spans="2:11" x14ac:dyDescent="0.45">
      <c r="B25" s="34" t="s">
        <v>462</v>
      </c>
      <c r="C25" s="32"/>
      <c r="D25" s="32"/>
      <c r="E25" s="32"/>
      <c r="F25" s="32"/>
      <c r="G25" s="32"/>
      <c r="H25" s="32"/>
      <c r="I25" s="32"/>
      <c r="J25" s="32"/>
    </row>
    <row r="26" spans="2:11" x14ac:dyDescent="0.45">
      <c r="B26" s="34" t="s">
        <v>463</v>
      </c>
      <c r="C26" s="47"/>
      <c r="D26" s="47"/>
      <c r="E26" s="47"/>
      <c r="F26" s="47"/>
      <c r="G26" s="47"/>
      <c r="H26" s="47"/>
      <c r="I26" s="47"/>
      <c r="J26" s="47"/>
    </row>
    <row r="27" spans="2:11" x14ac:dyDescent="0.45">
      <c r="B27" s="47" t="s">
        <v>464</v>
      </c>
      <c r="C27" s="48"/>
      <c r="D27" s="48"/>
      <c r="E27" s="48"/>
      <c r="F27" s="48"/>
      <c r="G27" s="48"/>
      <c r="H27" s="32"/>
      <c r="I27" s="32"/>
      <c r="J27" s="32"/>
    </row>
    <row r="28" spans="2:11" x14ac:dyDescent="0.45">
      <c r="B28" s="47" t="s">
        <v>465</v>
      </c>
      <c r="C28" s="47"/>
      <c r="D28" s="47"/>
      <c r="E28" s="47"/>
      <c r="F28" s="47"/>
      <c r="G28" s="47"/>
      <c r="H28" s="47"/>
      <c r="I28" s="47"/>
      <c r="J28" s="47"/>
    </row>
    <row r="29" spans="2:11" x14ac:dyDescent="0.45">
      <c r="B29" s="34" t="s">
        <v>466</v>
      </c>
      <c r="C29" s="47"/>
      <c r="D29" s="47"/>
      <c r="E29" s="47"/>
      <c r="F29" s="47"/>
      <c r="G29" s="47"/>
      <c r="H29" s="47"/>
      <c r="I29" s="47"/>
      <c r="J29" s="47"/>
      <c r="K29" s="114" t="s">
        <v>312</v>
      </c>
    </row>
    <row r="30" spans="2:11" x14ac:dyDescent="0.45">
      <c r="B30" s="34" t="s">
        <v>467</v>
      </c>
      <c r="C30" s="47"/>
      <c r="D30" s="47"/>
      <c r="E30" s="47"/>
      <c r="F30" s="47"/>
      <c r="G30" s="47"/>
      <c r="H30" s="47"/>
      <c r="I30" s="47"/>
      <c r="J30" s="47"/>
    </row>
    <row r="31" spans="2:11" x14ac:dyDescent="0.45">
      <c r="B31" s="34" t="s">
        <v>468</v>
      </c>
      <c r="C31" s="47"/>
      <c r="D31" s="47"/>
      <c r="E31" s="47"/>
      <c r="F31" s="47"/>
      <c r="G31" s="47"/>
      <c r="H31" s="47"/>
      <c r="I31" s="47"/>
      <c r="J31" s="47"/>
    </row>
    <row r="32" spans="2:11" x14ac:dyDescent="0.45">
      <c r="B32" s="32"/>
      <c r="C32" s="32"/>
      <c r="D32" s="32"/>
      <c r="E32" s="32"/>
      <c r="F32" s="32"/>
      <c r="G32" s="32"/>
      <c r="H32" s="32"/>
      <c r="I32" s="32"/>
      <c r="J32" s="32"/>
    </row>
    <row r="33" spans="1:11" x14ac:dyDescent="0.45">
      <c r="B33" s="17" t="s">
        <v>469</v>
      </c>
      <c r="C33" s="28"/>
      <c r="D33" s="28"/>
      <c r="E33" s="28"/>
      <c r="F33" s="28"/>
      <c r="G33" s="28"/>
      <c r="H33" s="28"/>
      <c r="I33" s="28"/>
      <c r="J33" s="28"/>
    </row>
    <row r="34" spans="1:11" x14ac:dyDescent="0.45">
      <c r="B34" s="34" t="s">
        <v>470</v>
      </c>
      <c r="C34" s="47"/>
      <c r="D34" s="47"/>
      <c r="E34" s="47"/>
      <c r="F34" s="47"/>
      <c r="G34" s="47"/>
      <c r="H34" s="47"/>
      <c r="I34" s="47"/>
      <c r="J34" s="47"/>
    </row>
    <row r="35" spans="1:11" x14ac:dyDescent="0.45">
      <c r="B35" s="34" t="s">
        <v>471</v>
      </c>
      <c r="C35" s="47"/>
      <c r="D35" s="47"/>
      <c r="E35" s="47"/>
      <c r="F35" s="47"/>
      <c r="G35" s="47"/>
      <c r="H35" s="47"/>
      <c r="I35" s="47"/>
      <c r="J35" s="47"/>
    </row>
    <row r="36" spans="1:11" x14ac:dyDescent="0.45">
      <c r="B36" s="34" t="s">
        <v>472</v>
      </c>
      <c r="C36" s="47"/>
      <c r="D36" s="47"/>
      <c r="E36" s="47"/>
      <c r="F36" s="47"/>
      <c r="G36" s="47"/>
      <c r="H36" s="47"/>
      <c r="I36" s="47"/>
      <c r="J36" s="47"/>
    </row>
    <row r="37" spans="1:11" x14ac:dyDescent="0.45">
      <c r="B37" s="34" t="s">
        <v>473</v>
      </c>
      <c r="C37" s="47"/>
      <c r="D37" s="47"/>
      <c r="E37" s="47"/>
      <c r="F37" s="47"/>
      <c r="G37" s="47"/>
      <c r="H37" s="47"/>
      <c r="I37" s="47"/>
      <c r="J37" s="47"/>
    </row>
    <row r="38" spans="1:11" x14ac:dyDescent="0.45">
      <c r="B38" s="47"/>
      <c r="C38" s="47"/>
      <c r="D38" s="47"/>
      <c r="E38" s="47"/>
      <c r="F38" s="47"/>
      <c r="G38" s="47"/>
      <c r="H38" s="47"/>
      <c r="I38" s="47"/>
      <c r="J38" s="47"/>
    </row>
    <row r="39" spans="1:11" x14ac:dyDescent="0.45">
      <c r="B39" s="28" t="s">
        <v>474</v>
      </c>
      <c r="C39" s="47"/>
      <c r="D39" s="47"/>
      <c r="E39" s="47"/>
      <c r="F39" s="47"/>
      <c r="G39" s="47"/>
      <c r="H39" s="47"/>
      <c r="I39" s="47"/>
      <c r="J39" s="47"/>
    </row>
    <row r="40" spans="1:11" x14ac:dyDescent="0.45">
      <c r="B40" s="34" t="s">
        <v>475</v>
      </c>
      <c r="C40" s="47"/>
      <c r="D40" s="47"/>
      <c r="E40" s="47"/>
      <c r="F40" s="47"/>
      <c r="G40" s="47"/>
      <c r="H40" s="47"/>
      <c r="I40" s="47"/>
      <c r="J40" s="47"/>
    </row>
    <row r="41" spans="1:11" x14ac:dyDescent="0.45">
      <c r="B41" s="34" t="s">
        <v>476</v>
      </c>
      <c r="C41" s="47"/>
      <c r="D41" s="47"/>
      <c r="E41" s="47"/>
      <c r="F41" s="47"/>
      <c r="G41" s="47"/>
      <c r="H41" s="47"/>
      <c r="I41" s="47"/>
      <c r="J41" s="47"/>
    </row>
    <row r="42" spans="1:11" x14ac:dyDescent="0.45">
      <c r="A42" s="16"/>
      <c r="B42" s="34" t="s">
        <v>477</v>
      </c>
      <c r="C42" s="18"/>
      <c r="D42" s="18"/>
      <c r="E42" s="18"/>
      <c r="F42" s="18"/>
      <c r="G42" s="18"/>
      <c r="H42" s="18"/>
      <c r="I42" s="18"/>
      <c r="J42" s="18"/>
    </row>
    <row r="43" spans="1:11" x14ac:dyDescent="0.45">
      <c r="B43" s="34" t="s">
        <v>478</v>
      </c>
      <c r="C43" s="47"/>
      <c r="D43" s="47"/>
      <c r="E43" s="47"/>
      <c r="F43" s="47"/>
      <c r="G43" s="47"/>
      <c r="H43" s="47"/>
      <c r="I43" s="47"/>
      <c r="J43" s="47"/>
    </row>
    <row r="44" spans="1:11" x14ac:dyDescent="0.45">
      <c r="B44" s="34" t="s">
        <v>479</v>
      </c>
      <c r="C44" s="47"/>
      <c r="D44" s="47"/>
      <c r="E44" s="47"/>
      <c r="F44" s="47"/>
      <c r="G44" s="47"/>
      <c r="H44" s="47"/>
      <c r="I44" s="47"/>
      <c r="J44" s="47"/>
      <c r="K44" s="114" t="s">
        <v>312</v>
      </c>
    </row>
    <row r="45" spans="1:11" x14ac:dyDescent="0.45">
      <c r="B45" s="34" t="s">
        <v>480</v>
      </c>
      <c r="C45" s="47"/>
      <c r="D45" s="47"/>
      <c r="E45" s="47"/>
      <c r="F45" s="47"/>
      <c r="G45" s="47"/>
      <c r="H45" s="47"/>
      <c r="I45" s="47"/>
      <c r="J45" s="47"/>
    </row>
    <row r="46" spans="1:11" x14ac:dyDescent="0.45">
      <c r="B46" s="34" t="s">
        <v>481</v>
      </c>
      <c r="C46" s="47"/>
      <c r="D46" s="47"/>
      <c r="E46" s="47"/>
      <c r="F46" s="47"/>
      <c r="G46" s="47"/>
      <c r="H46" s="47"/>
      <c r="I46" s="47"/>
      <c r="J46" s="47"/>
    </row>
    <row r="47" spans="1:11" x14ac:dyDescent="0.45">
      <c r="B47" s="34" t="s">
        <v>482</v>
      </c>
      <c r="C47" s="47"/>
      <c r="D47" s="47"/>
      <c r="E47" s="47"/>
      <c r="F47" s="47"/>
      <c r="G47" s="47"/>
      <c r="H47" s="47"/>
      <c r="I47" s="47"/>
      <c r="J47" s="47"/>
      <c r="K47" s="114" t="s">
        <v>312</v>
      </c>
    </row>
    <row r="48" spans="1:11" x14ac:dyDescent="0.45">
      <c r="B48" s="34" t="s">
        <v>483</v>
      </c>
      <c r="C48" s="47"/>
      <c r="D48" s="47"/>
      <c r="E48" s="47"/>
      <c r="F48" s="47"/>
      <c r="G48" s="47"/>
      <c r="H48" s="47"/>
      <c r="I48" s="47"/>
      <c r="J48" s="47"/>
    </row>
    <row r="49" spans="2:10" x14ac:dyDescent="0.45">
      <c r="B49" s="34" t="s">
        <v>484</v>
      </c>
      <c r="C49" s="47"/>
      <c r="D49" s="47"/>
      <c r="E49" s="47"/>
      <c r="F49" s="47"/>
      <c r="G49" s="47"/>
      <c r="H49" s="47"/>
      <c r="I49" s="47"/>
      <c r="J49" s="47"/>
    </row>
    <row r="50" spans="2:10" x14ac:dyDescent="0.45">
      <c r="B50" s="46"/>
      <c r="C50" s="47"/>
      <c r="D50" s="47"/>
      <c r="E50" s="47"/>
      <c r="F50" s="47"/>
      <c r="G50" s="47"/>
      <c r="H50" s="47"/>
      <c r="I50" s="47"/>
      <c r="J50" s="47"/>
    </row>
    <row r="51" spans="2:10" x14ac:dyDescent="0.45">
      <c r="B51" s="28" t="s">
        <v>485</v>
      </c>
      <c r="C51" s="47"/>
      <c r="D51" s="47"/>
      <c r="E51" s="47"/>
      <c r="F51" s="47"/>
      <c r="G51" s="47"/>
      <c r="H51" s="47"/>
      <c r="I51" s="47"/>
      <c r="J51" s="47"/>
    </row>
    <row r="52" spans="2:10" x14ac:dyDescent="0.45">
      <c r="B52" s="34" t="s">
        <v>486</v>
      </c>
      <c r="C52" s="47"/>
      <c r="D52" s="47"/>
      <c r="E52" s="47"/>
      <c r="F52" s="47"/>
      <c r="G52" s="47"/>
      <c r="H52" s="47"/>
      <c r="I52" s="47"/>
      <c r="J52" s="47"/>
    </row>
    <row r="53" spans="2:10" x14ac:dyDescent="0.45">
      <c r="B53" s="34" t="s">
        <v>487</v>
      </c>
      <c r="C53" s="47"/>
      <c r="D53" s="47"/>
      <c r="E53" s="47"/>
      <c r="F53" s="47"/>
      <c r="G53" s="47"/>
      <c r="H53" s="47"/>
      <c r="I53" s="47"/>
      <c r="J53" s="47"/>
    </row>
    <row r="54" spans="2:10" x14ac:dyDescent="0.45">
      <c r="B54" s="47" t="s">
        <v>488</v>
      </c>
      <c r="C54" s="47"/>
      <c r="D54" s="47"/>
      <c r="E54" s="47"/>
      <c r="F54" s="47"/>
      <c r="G54" s="47"/>
      <c r="H54" s="47"/>
      <c r="I54" s="47"/>
      <c r="J54" s="47"/>
    </row>
    <row r="55" spans="2:10" x14ac:dyDescent="0.45">
      <c r="B55" s="34" t="s">
        <v>489</v>
      </c>
      <c r="C55" s="47"/>
      <c r="D55" s="47"/>
      <c r="E55" s="47"/>
      <c r="F55" s="47"/>
      <c r="G55" s="47"/>
      <c r="H55" s="47"/>
      <c r="I55" s="47"/>
      <c r="J55" s="47"/>
    </row>
    <row r="56" spans="2:10" x14ac:dyDescent="0.45">
      <c r="B56" s="34" t="s">
        <v>490</v>
      </c>
      <c r="C56" s="47"/>
      <c r="D56" s="47"/>
      <c r="E56" s="47"/>
      <c r="F56" s="47"/>
      <c r="G56" s="47"/>
      <c r="H56" s="47"/>
      <c r="I56" s="47"/>
      <c r="J56" s="47"/>
    </row>
    <row r="57" spans="2:10" x14ac:dyDescent="0.45">
      <c r="B57" s="34" t="s">
        <v>491</v>
      </c>
      <c r="C57" s="47"/>
      <c r="D57" s="47"/>
      <c r="E57" s="47"/>
      <c r="F57" s="47"/>
      <c r="G57" s="47"/>
      <c r="H57" s="47"/>
      <c r="I57" s="47"/>
      <c r="J57" s="47"/>
    </row>
    <row r="58" spans="2:10" x14ac:dyDescent="0.45">
      <c r="B58" s="34" t="s">
        <v>492</v>
      </c>
      <c r="C58" s="47"/>
      <c r="D58" s="47"/>
      <c r="E58" s="47"/>
      <c r="F58" s="47"/>
      <c r="G58" s="47"/>
      <c r="H58" s="47"/>
      <c r="I58" s="47"/>
      <c r="J58" s="47"/>
    </row>
    <row r="59" spans="2:10" x14ac:dyDescent="0.45">
      <c r="B59" s="34"/>
      <c r="C59" s="47"/>
      <c r="D59" s="47"/>
      <c r="E59" s="47"/>
      <c r="F59" s="47"/>
      <c r="G59" s="47"/>
      <c r="H59" s="47"/>
      <c r="I59" s="47"/>
      <c r="J59" s="47"/>
    </row>
    <row r="60" spans="2:10" x14ac:dyDescent="0.45">
      <c r="B60" s="28" t="s">
        <v>493</v>
      </c>
      <c r="C60" s="47"/>
      <c r="D60" s="47"/>
      <c r="E60" s="47"/>
      <c r="F60" s="47"/>
      <c r="G60" s="47"/>
      <c r="H60" s="47"/>
      <c r="I60" s="47"/>
      <c r="J60" s="47"/>
    </row>
    <row r="61" spans="2:10" x14ac:dyDescent="0.45">
      <c r="B61" s="34" t="s">
        <v>494</v>
      </c>
      <c r="C61" s="47"/>
      <c r="D61" s="47"/>
      <c r="E61" s="47"/>
      <c r="F61" s="47"/>
      <c r="G61" s="47"/>
      <c r="H61" s="47"/>
      <c r="I61" s="47"/>
      <c r="J61" s="47"/>
    </row>
    <row r="62" spans="2:10" x14ac:dyDescent="0.45">
      <c r="B62" s="47" t="s">
        <v>495</v>
      </c>
      <c r="C62" s="47"/>
      <c r="D62" s="47"/>
      <c r="E62" s="47"/>
      <c r="F62" s="47"/>
      <c r="G62" s="47"/>
      <c r="H62" s="47"/>
      <c r="I62" s="47"/>
      <c r="J62" s="47"/>
    </row>
    <row r="63" spans="2:10" x14ac:dyDescent="0.45">
      <c r="B63" s="47" t="s">
        <v>496</v>
      </c>
      <c r="C63" s="47"/>
      <c r="D63" s="47"/>
      <c r="E63" s="47"/>
      <c r="F63" s="47"/>
      <c r="G63" s="47"/>
      <c r="H63" s="47"/>
      <c r="I63" s="47"/>
      <c r="J63" s="47"/>
    </row>
    <row r="64" spans="2:10" x14ac:dyDescent="0.45">
      <c r="B64" s="34" t="s">
        <v>497</v>
      </c>
      <c r="C64" s="47"/>
      <c r="D64" s="47"/>
      <c r="E64" s="47"/>
      <c r="F64" s="47"/>
      <c r="G64" s="47"/>
      <c r="H64" s="47"/>
      <c r="I64" s="47"/>
      <c r="J64" s="47"/>
    </row>
    <row r="65" spans="1:11" x14ac:dyDescent="0.45">
      <c r="B65" s="32"/>
      <c r="C65" s="47"/>
      <c r="D65" s="47"/>
      <c r="E65" s="47"/>
      <c r="F65" s="47"/>
      <c r="G65" s="47"/>
      <c r="H65" s="47"/>
      <c r="I65" s="47"/>
      <c r="J65" s="47"/>
    </row>
    <row r="66" spans="1:11" x14ac:dyDescent="0.45">
      <c r="B66" s="28" t="s">
        <v>498</v>
      </c>
      <c r="C66" s="47"/>
      <c r="D66" s="47"/>
      <c r="E66" s="47"/>
      <c r="F66" s="47"/>
      <c r="G66" s="47"/>
      <c r="H66" s="47"/>
      <c r="I66" s="47"/>
      <c r="J66" s="47"/>
    </row>
    <row r="67" spans="1:11" x14ac:dyDescent="0.45">
      <c r="B67" s="34" t="s">
        <v>499</v>
      </c>
      <c r="C67" s="47"/>
      <c r="D67" s="47"/>
      <c r="E67" s="47"/>
      <c r="F67" s="47"/>
      <c r="G67" s="47"/>
      <c r="H67" s="47"/>
      <c r="I67" s="47"/>
      <c r="J67" s="47"/>
    </row>
    <row r="68" spans="1:11" x14ac:dyDescent="0.45">
      <c r="B68" s="47" t="s">
        <v>500</v>
      </c>
      <c r="C68" s="47"/>
      <c r="D68" s="47"/>
      <c r="E68" s="47"/>
      <c r="F68" s="47"/>
      <c r="G68" s="47"/>
      <c r="H68" s="47"/>
      <c r="I68" s="47"/>
      <c r="J68" s="47"/>
    </row>
    <row r="69" spans="1:11" x14ac:dyDescent="0.45">
      <c r="B69" s="47" t="s">
        <v>501</v>
      </c>
      <c r="C69" s="47"/>
      <c r="D69" s="47"/>
      <c r="E69" s="47"/>
      <c r="F69" s="47"/>
      <c r="G69" s="47"/>
      <c r="H69" s="47"/>
      <c r="I69" s="47"/>
      <c r="J69" s="47"/>
    </row>
    <row r="70" spans="1:11" x14ac:dyDescent="0.45">
      <c r="B70" s="47" t="s">
        <v>502</v>
      </c>
      <c r="C70" s="47"/>
      <c r="D70" s="47"/>
      <c r="E70" s="47"/>
      <c r="F70" s="47"/>
      <c r="G70" s="47"/>
      <c r="H70" s="47"/>
      <c r="I70" s="47"/>
      <c r="J70" s="47"/>
    </row>
    <row r="71" spans="1:11" x14ac:dyDescent="0.45">
      <c r="B71" s="47" t="s">
        <v>503</v>
      </c>
      <c r="C71" s="47"/>
      <c r="D71" s="47"/>
      <c r="E71" s="47"/>
      <c r="F71" s="47"/>
      <c r="G71" s="47"/>
      <c r="H71" s="47"/>
      <c r="I71" s="47"/>
      <c r="J71" s="47"/>
    </row>
    <row r="72" spans="1:11" x14ac:dyDescent="0.45">
      <c r="B72" s="47" t="s">
        <v>504</v>
      </c>
      <c r="C72" s="47"/>
      <c r="D72" s="47"/>
      <c r="E72" s="47"/>
      <c r="F72" s="47"/>
      <c r="G72" s="47"/>
      <c r="H72" s="47"/>
      <c r="I72" s="47"/>
      <c r="J72" s="47"/>
    </row>
    <row r="73" spans="1:11" x14ac:dyDescent="0.45">
      <c r="B73" s="47" t="s">
        <v>505</v>
      </c>
      <c r="C73" s="47"/>
      <c r="D73" s="47"/>
      <c r="E73" s="47"/>
      <c r="F73" s="47"/>
      <c r="G73" s="47"/>
      <c r="H73" s="47"/>
      <c r="I73" s="47"/>
      <c r="J73" s="47"/>
    </row>
    <row r="74" spans="1:11" x14ac:dyDescent="0.45">
      <c r="B74" s="47" t="s">
        <v>506</v>
      </c>
      <c r="C74" s="47"/>
      <c r="D74" s="47"/>
      <c r="E74" s="47"/>
      <c r="F74" s="47"/>
      <c r="G74" s="47"/>
      <c r="H74" s="47"/>
      <c r="I74" s="47"/>
      <c r="J74" s="47"/>
    </row>
    <row r="75" spans="1:11" x14ac:dyDescent="0.45">
      <c r="B75" s="32"/>
      <c r="C75" s="47"/>
      <c r="D75" s="47"/>
      <c r="E75" s="47"/>
      <c r="F75" s="47"/>
      <c r="G75" s="47"/>
      <c r="H75" s="47"/>
      <c r="I75" s="47"/>
      <c r="J75" s="47"/>
    </row>
    <row r="76" spans="1:11" x14ac:dyDescent="0.45">
      <c r="B76" s="28" t="s">
        <v>507</v>
      </c>
      <c r="C76" s="47"/>
      <c r="D76" s="47"/>
      <c r="E76" s="47"/>
      <c r="F76" s="47"/>
      <c r="G76" s="47"/>
      <c r="H76" s="47"/>
      <c r="I76" s="47"/>
      <c r="J76" s="47"/>
    </row>
    <row r="77" spans="1:11" x14ac:dyDescent="0.45">
      <c r="B77" s="32" t="s">
        <v>508</v>
      </c>
      <c r="C77" s="47"/>
      <c r="D77" s="47"/>
      <c r="E77" s="47"/>
      <c r="F77" s="47"/>
      <c r="G77" s="47"/>
      <c r="H77" s="47"/>
      <c r="I77" s="47"/>
      <c r="J77" s="47"/>
    </row>
    <row r="78" spans="1:11" x14ac:dyDescent="0.45">
      <c r="B78" s="32" t="s">
        <v>509</v>
      </c>
      <c r="C78" s="47"/>
      <c r="D78" s="47"/>
      <c r="E78" s="47"/>
      <c r="F78" s="47"/>
      <c r="G78" s="47"/>
      <c r="H78" s="47"/>
      <c r="I78" s="47"/>
      <c r="J78" s="47"/>
    </row>
    <row r="79" spans="1:11" x14ac:dyDescent="0.45">
      <c r="B79" s="32" t="s">
        <v>510</v>
      </c>
      <c r="C79" s="47"/>
      <c r="D79" s="47"/>
      <c r="E79" s="47"/>
      <c r="F79" s="47"/>
      <c r="G79" s="47"/>
      <c r="H79" s="47"/>
      <c r="I79" s="47"/>
      <c r="J79" s="47"/>
    </row>
    <row r="80" spans="1:11" s="114" customFormat="1" x14ac:dyDescent="0.45">
      <c r="A80" s="15"/>
      <c r="B80" s="32" t="s">
        <v>511</v>
      </c>
      <c r="C80" s="47"/>
      <c r="D80" s="47"/>
      <c r="E80" s="47"/>
      <c r="F80" s="47"/>
      <c r="G80" s="47"/>
      <c r="H80" s="47"/>
      <c r="I80" s="47"/>
      <c r="J80" s="47"/>
      <c r="K80" s="32"/>
    </row>
    <row r="81" spans="1:10" s="114" customFormat="1" x14ac:dyDescent="0.45">
      <c r="A81" s="15"/>
      <c r="B81" s="32"/>
      <c r="C81" s="64" t="s">
        <v>512</v>
      </c>
      <c r="D81" s="244" t="s">
        <v>513</v>
      </c>
      <c r="E81" s="245"/>
      <c r="F81" s="244" t="s">
        <v>291</v>
      </c>
      <c r="G81" s="245"/>
      <c r="H81" s="47"/>
      <c r="I81" s="47"/>
      <c r="J81" s="47"/>
    </row>
    <row r="82" spans="1:10" s="114" customFormat="1" x14ac:dyDescent="0.45">
      <c r="A82" s="15"/>
      <c r="B82" s="32"/>
      <c r="C82" s="65" t="s">
        <v>514</v>
      </c>
      <c r="D82" s="233" t="s">
        <v>515</v>
      </c>
      <c r="E82" s="249"/>
      <c r="F82" s="233" t="s">
        <v>516</v>
      </c>
      <c r="G82" s="234"/>
      <c r="H82" s="47"/>
      <c r="I82" s="47"/>
      <c r="J82" s="47"/>
    </row>
    <row r="83" spans="1:10" s="114" customFormat="1" x14ac:dyDescent="0.45">
      <c r="A83" s="15"/>
      <c r="B83" s="32"/>
      <c r="C83" s="65" t="s">
        <v>517</v>
      </c>
      <c r="D83" s="233" t="s">
        <v>518</v>
      </c>
      <c r="E83" s="249"/>
      <c r="F83" s="232"/>
      <c r="G83" s="156"/>
      <c r="H83" s="47"/>
      <c r="I83" s="47"/>
      <c r="J83" s="47"/>
    </row>
    <row r="84" spans="1:10" s="114" customFormat="1" x14ac:dyDescent="0.45">
      <c r="A84" s="15"/>
      <c r="B84" s="32"/>
      <c r="C84" s="66" t="s">
        <v>519</v>
      </c>
      <c r="D84" s="237" t="s">
        <v>520</v>
      </c>
      <c r="E84" s="238"/>
      <c r="F84" s="235"/>
      <c r="G84" s="236"/>
      <c r="H84" s="47"/>
      <c r="I84" s="47"/>
      <c r="J84" s="47"/>
    </row>
    <row r="85" spans="1:10" x14ac:dyDescent="0.45">
      <c r="B85" s="32" t="s">
        <v>521</v>
      </c>
      <c r="C85" s="47"/>
      <c r="D85" s="47"/>
      <c r="E85" s="47"/>
      <c r="F85" s="47"/>
      <c r="G85" s="47"/>
      <c r="H85" s="47"/>
      <c r="I85" s="47"/>
      <c r="J85" s="47"/>
    </row>
    <row r="86" spans="1:10" x14ac:dyDescent="0.45">
      <c r="B86" s="34" t="s">
        <v>522</v>
      </c>
      <c r="C86" s="47"/>
      <c r="D86" s="47"/>
      <c r="E86" s="47"/>
      <c r="F86" s="47"/>
      <c r="G86" s="47"/>
      <c r="H86" s="47"/>
      <c r="I86" s="47"/>
      <c r="J86" s="47"/>
    </row>
    <row r="87" spans="1:10" x14ac:dyDescent="0.45">
      <c r="B87" s="34" t="s">
        <v>523</v>
      </c>
      <c r="C87" s="47"/>
      <c r="D87" s="47"/>
      <c r="E87" s="47"/>
      <c r="F87" s="47"/>
      <c r="G87" s="47"/>
      <c r="H87" s="47"/>
      <c r="I87" s="47"/>
      <c r="J87" s="47"/>
    </row>
    <row r="88" spans="1:10" x14ac:dyDescent="0.45">
      <c r="B88" s="34" t="s">
        <v>524</v>
      </c>
      <c r="C88" s="47"/>
      <c r="D88" s="47"/>
      <c r="E88" s="47"/>
      <c r="F88" s="47"/>
      <c r="G88" s="47"/>
      <c r="H88" s="47"/>
      <c r="I88" s="47"/>
      <c r="J88" s="47"/>
    </row>
    <row r="89" spans="1:10" x14ac:dyDescent="0.45">
      <c r="B89" s="34" t="s">
        <v>525</v>
      </c>
      <c r="C89" s="47"/>
      <c r="D89" s="47"/>
      <c r="E89" s="47"/>
      <c r="F89" s="47"/>
      <c r="G89" s="47"/>
      <c r="H89" s="47"/>
      <c r="I89" s="47"/>
      <c r="J89" s="47"/>
    </row>
    <row r="90" spans="1:10" x14ac:dyDescent="0.45">
      <c r="B90" s="34"/>
      <c r="C90" s="47"/>
      <c r="D90" s="47"/>
      <c r="E90" s="47"/>
      <c r="F90" s="47"/>
      <c r="G90" s="47"/>
      <c r="H90" s="47"/>
      <c r="I90" s="47"/>
      <c r="J90" s="47"/>
    </row>
    <row r="91" spans="1:10" x14ac:dyDescent="0.45">
      <c r="B91" s="28" t="s">
        <v>526</v>
      </c>
      <c r="C91" s="47"/>
      <c r="D91" s="47"/>
      <c r="E91" s="47"/>
      <c r="F91" s="47"/>
      <c r="G91" s="47"/>
      <c r="H91" s="47"/>
      <c r="I91" s="47"/>
      <c r="J91" s="47"/>
    </row>
    <row r="92" spans="1:10" x14ac:dyDescent="0.45">
      <c r="B92" s="32" t="s">
        <v>527</v>
      </c>
      <c r="C92" s="47"/>
      <c r="D92" s="47"/>
      <c r="E92" s="47"/>
      <c r="F92" s="47"/>
      <c r="G92" s="47"/>
      <c r="H92" s="47"/>
      <c r="I92" s="47"/>
      <c r="J92" s="47"/>
    </row>
    <row r="93" spans="1:10" x14ac:dyDescent="0.45">
      <c r="B93" s="47" t="s">
        <v>528</v>
      </c>
      <c r="C93" s="47"/>
      <c r="D93" s="47"/>
      <c r="E93" s="47"/>
      <c r="F93" s="47"/>
      <c r="G93" s="47"/>
      <c r="H93" s="47"/>
      <c r="I93" s="47"/>
      <c r="J93" s="47"/>
    </row>
    <row r="94" spans="1:10" x14ac:dyDescent="0.45">
      <c r="B94" s="47" t="s">
        <v>529</v>
      </c>
      <c r="C94" s="47"/>
      <c r="D94" s="47"/>
      <c r="E94" s="47"/>
      <c r="F94" s="47"/>
      <c r="G94" s="47"/>
      <c r="H94" s="47"/>
      <c r="I94" s="47"/>
      <c r="J94" s="47"/>
    </row>
    <row r="95" spans="1:10" x14ac:dyDescent="0.45">
      <c r="B95" s="47" t="s">
        <v>530</v>
      </c>
      <c r="C95" s="47"/>
      <c r="D95" s="47"/>
      <c r="E95" s="47"/>
      <c r="F95" s="47"/>
      <c r="G95" s="47"/>
      <c r="H95" s="47"/>
      <c r="I95" s="47"/>
      <c r="J95" s="47"/>
    </row>
    <row r="96" spans="1:10" x14ac:dyDescent="0.45">
      <c r="B96" s="47" t="s">
        <v>531</v>
      </c>
      <c r="C96" s="47"/>
      <c r="D96" s="47"/>
      <c r="E96" s="47"/>
      <c r="F96" s="47"/>
      <c r="G96" s="47"/>
      <c r="H96" s="47"/>
      <c r="I96" s="47"/>
      <c r="J96" s="47"/>
    </row>
    <row r="97" spans="2:12" x14ac:dyDescent="0.45">
      <c r="B97" s="47" t="s">
        <v>532</v>
      </c>
      <c r="C97" s="47"/>
      <c r="D97" s="47"/>
      <c r="E97" s="47"/>
      <c r="F97" s="47"/>
      <c r="G97" s="47"/>
      <c r="H97" s="47"/>
      <c r="I97" s="47"/>
      <c r="J97" s="47"/>
    </row>
    <row r="98" spans="2:12" x14ac:dyDescent="0.45">
      <c r="B98" s="47" t="s">
        <v>533</v>
      </c>
      <c r="C98" s="47"/>
      <c r="D98" s="47"/>
      <c r="E98" s="47"/>
      <c r="F98" s="47"/>
      <c r="G98" s="47"/>
      <c r="H98" s="47"/>
      <c r="I98" s="47"/>
      <c r="J98" s="47"/>
    </row>
    <row r="99" spans="2:12" x14ac:dyDescent="0.45">
      <c r="B99" s="32"/>
      <c r="C99" s="47"/>
      <c r="D99" s="47"/>
      <c r="E99" s="47"/>
      <c r="F99" s="47"/>
      <c r="G99" s="47"/>
      <c r="H99" s="47"/>
      <c r="I99" s="47"/>
      <c r="J99" s="47"/>
    </row>
    <row r="100" spans="2:12" x14ac:dyDescent="0.45">
      <c r="B100" s="28" t="s">
        <v>534</v>
      </c>
      <c r="C100" s="47"/>
      <c r="D100" s="47"/>
      <c r="E100" s="47"/>
      <c r="F100" s="47"/>
      <c r="G100" s="47"/>
      <c r="H100" s="47"/>
      <c r="I100" s="47"/>
      <c r="J100" s="47"/>
    </row>
    <row r="101" spans="2:12" x14ac:dyDescent="0.45">
      <c r="B101" s="34" t="s">
        <v>535</v>
      </c>
      <c r="C101" s="48"/>
      <c r="D101" s="48"/>
      <c r="E101" s="48"/>
      <c r="F101" s="48"/>
      <c r="G101" s="48"/>
      <c r="H101" s="48"/>
      <c r="I101" s="48"/>
      <c r="J101" s="47"/>
    </row>
    <row r="102" spans="2:12" x14ac:dyDescent="0.45">
      <c r="B102" s="34" t="s">
        <v>536</v>
      </c>
      <c r="C102" s="48"/>
      <c r="D102" s="48"/>
      <c r="E102" s="48"/>
      <c r="F102" s="48"/>
      <c r="G102" s="48"/>
      <c r="H102" s="48"/>
      <c r="I102" s="48"/>
      <c r="J102" s="47"/>
    </row>
    <row r="103" spans="2:12" x14ac:dyDescent="0.45">
      <c r="B103" s="34" t="s">
        <v>537</v>
      </c>
      <c r="C103" s="48"/>
      <c r="D103" s="48"/>
      <c r="E103" s="48"/>
      <c r="F103" s="48"/>
      <c r="G103" s="48"/>
      <c r="H103" s="48"/>
      <c r="I103" s="48"/>
      <c r="J103" s="47"/>
    </row>
    <row r="104" spans="2:12" x14ac:dyDescent="0.45">
      <c r="B104" s="34" t="s">
        <v>538</v>
      </c>
      <c r="C104" s="48"/>
      <c r="D104" s="48"/>
      <c r="E104" s="48"/>
      <c r="F104" s="48"/>
      <c r="G104" s="48"/>
      <c r="H104" s="48"/>
      <c r="I104" s="48"/>
      <c r="J104" s="47"/>
    </row>
    <row r="105" spans="2:12" x14ac:dyDescent="0.45">
      <c r="B105" s="34"/>
      <c r="C105" s="47"/>
      <c r="D105" s="47"/>
      <c r="E105" s="47"/>
      <c r="F105" s="47"/>
      <c r="G105" s="47"/>
      <c r="H105" s="47"/>
      <c r="I105" s="47"/>
      <c r="J105" s="47"/>
    </row>
    <row r="106" spans="2:12" x14ac:dyDescent="0.45">
      <c r="B106" s="28" t="s">
        <v>539</v>
      </c>
      <c r="C106" s="47"/>
      <c r="D106" s="47"/>
      <c r="E106" s="47"/>
      <c r="F106" s="47"/>
      <c r="G106" s="47"/>
      <c r="H106" s="47"/>
      <c r="I106" s="47"/>
      <c r="J106" s="47"/>
      <c r="L106" s="114" t="s">
        <v>540</v>
      </c>
    </row>
    <row r="107" spans="2:12" x14ac:dyDescent="0.45">
      <c r="B107" s="34" t="s">
        <v>541</v>
      </c>
      <c r="C107" s="47"/>
      <c r="D107" s="47"/>
      <c r="E107" s="47"/>
      <c r="F107" s="47"/>
      <c r="G107" s="47"/>
      <c r="H107" s="47"/>
      <c r="I107" s="47"/>
      <c r="J107" s="47"/>
      <c r="K107" s="114" t="s">
        <v>19</v>
      </c>
      <c r="L107" s="114" t="s">
        <v>542</v>
      </c>
    </row>
    <row r="108" spans="2:12" x14ac:dyDescent="0.45">
      <c r="B108" s="34" t="s">
        <v>543</v>
      </c>
      <c r="C108" s="47"/>
      <c r="D108" s="47"/>
      <c r="E108" s="47"/>
      <c r="F108" s="47"/>
      <c r="G108" s="47"/>
      <c r="H108" s="47"/>
      <c r="I108" s="47"/>
      <c r="J108" s="47"/>
      <c r="L108" s="114" t="s">
        <v>544</v>
      </c>
    </row>
    <row r="109" spans="2:12" x14ac:dyDescent="0.45">
      <c r="B109" s="32"/>
      <c r="C109" s="47"/>
      <c r="D109" s="47"/>
      <c r="E109" s="47"/>
      <c r="F109" s="47"/>
      <c r="G109" s="47"/>
      <c r="H109" s="47"/>
      <c r="I109" s="47"/>
      <c r="J109" s="47"/>
      <c r="L109" s="114" t="s">
        <v>545</v>
      </c>
    </row>
    <row r="110" spans="2:12" x14ac:dyDescent="0.45">
      <c r="B110" s="28" t="s">
        <v>546</v>
      </c>
      <c r="C110" s="47"/>
      <c r="D110" s="47"/>
      <c r="E110" s="47"/>
      <c r="F110" s="47"/>
      <c r="G110" s="47"/>
      <c r="H110" s="47"/>
      <c r="I110" s="47"/>
      <c r="J110" s="47"/>
    </row>
    <row r="111" spans="2:12" x14ac:dyDescent="0.45">
      <c r="B111" s="34" t="s">
        <v>547</v>
      </c>
      <c r="C111" s="47"/>
      <c r="D111" s="47"/>
      <c r="E111" s="47"/>
      <c r="F111" s="47"/>
      <c r="G111" s="47"/>
      <c r="H111" s="47"/>
      <c r="I111" s="47"/>
      <c r="J111" s="47"/>
    </row>
    <row r="112" spans="2:12" x14ac:dyDescent="0.45">
      <c r="B112" s="34" t="s">
        <v>548</v>
      </c>
      <c r="C112" s="47"/>
      <c r="D112" s="47"/>
      <c r="E112" s="47"/>
      <c r="F112" s="47"/>
      <c r="G112" s="47"/>
      <c r="H112" s="47"/>
      <c r="I112" s="47"/>
      <c r="J112" s="47"/>
    </row>
    <row r="113" spans="2:10" x14ac:dyDescent="0.45">
      <c r="B113" s="34" t="s">
        <v>549</v>
      </c>
      <c r="C113" s="47"/>
      <c r="D113" s="47"/>
      <c r="E113" s="47"/>
      <c r="F113" s="47"/>
      <c r="G113" s="47"/>
      <c r="H113" s="47"/>
      <c r="I113" s="47"/>
      <c r="J113" s="47"/>
    </row>
    <row r="114" spans="2:10" x14ac:dyDescent="0.45">
      <c r="B114" s="34" t="s">
        <v>550</v>
      </c>
      <c r="C114" s="47"/>
      <c r="D114" s="47"/>
      <c r="E114" s="47"/>
      <c r="F114" s="47"/>
      <c r="G114" s="47"/>
      <c r="H114" s="47"/>
      <c r="I114" s="47"/>
      <c r="J114" s="47"/>
    </row>
    <row r="115" spans="2:10" x14ac:dyDescent="0.45">
      <c r="B115" s="34" t="s">
        <v>551</v>
      </c>
      <c r="C115" s="47"/>
      <c r="D115" s="47"/>
      <c r="E115" s="47"/>
      <c r="F115" s="47"/>
      <c r="G115" s="47"/>
      <c r="H115" s="47"/>
      <c r="I115" s="47"/>
      <c r="J115" s="47"/>
    </row>
    <row r="116" spans="2:10" x14ac:dyDescent="0.45">
      <c r="B116" s="34" t="s">
        <v>552</v>
      </c>
      <c r="C116" s="47"/>
      <c r="D116" s="47"/>
      <c r="E116" s="47"/>
      <c r="F116" s="47"/>
      <c r="G116" s="47"/>
      <c r="H116" s="47"/>
      <c r="I116" s="47"/>
      <c r="J116" s="47"/>
    </row>
    <row r="117" spans="2:10" x14ac:dyDescent="0.45">
      <c r="B117" s="34" t="s">
        <v>553</v>
      </c>
      <c r="C117" s="47"/>
      <c r="D117" s="47"/>
      <c r="E117" s="47"/>
      <c r="F117" s="47"/>
      <c r="G117" s="47"/>
      <c r="H117" s="47"/>
      <c r="I117" s="47"/>
      <c r="J117" s="47"/>
    </row>
    <row r="118" spans="2:10" x14ac:dyDescent="0.45">
      <c r="B118" s="32"/>
      <c r="C118" s="47"/>
      <c r="D118" s="47"/>
      <c r="E118" s="47"/>
      <c r="F118" s="47"/>
      <c r="G118" s="47"/>
      <c r="H118" s="47"/>
      <c r="I118" s="47"/>
      <c r="J118" s="47"/>
    </row>
    <row r="119" spans="2:10" x14ac:dyDescent="0.45">
      <c r="B119" s="28" t="s">
        <v>554</v>
      </c>
      <c r="C119" s="47"/>
      <c r="D119" s="47"/>
      <c r="E119" s="47"/>
      <c r="F119" s="47"/>
      <c r="G119" s="47"/>
      <c r="H119" s="47"/>
      <c r="I119" s="47"/>
      <c r="J119" s="47"/>
    </row>
    <row r="120" spans="2:10" x14ac:dyDescent="0.45">
      <c r="B120" s="34" t="s">
        <v>555</v>
      </c>
      <c r="C120" s="47"/>
      <c r="D120" s="47"/>
      <c r="E120" s="47"/>
      <c r="F120" s="47"/>
      <c r="G120" s="47"/>
      <c r="H120" s="47"/>
      <c r="I120" s="47"/>
      <c r="J120" s="47"/>
    </row>
    <row r="121" spans="2:10" x14ac:dyDescent="0.45">
      <c r="B121" s="34" t="s">
        <v>556</v>
      </c>
      <c r="C121" s="47"/>
      <c r="D121" s="47"/>
      <c r="E121" s="47"/>
      <c r="F121" s="47"/>
      <c r="G121" s="47"/>
      <c r="H121" s="47"/>
      <c r="I121" s="47"/>
      <c r="J121" s="47"/>
    </row>
    <row r="122" spans="2:10" x14ac:dyDescent="0.45">
      <c r="B122" s="34" t="s">
        <v>557</v>
      </c>
      <c r="C122" s="47"/>
      <c r="D122" s="47"/>
      <c r="E122" s="47"/>
      <c r="F122" s="47"/>
      <c r="G122" s="47"/>
      <c r="H122" s="47"/>
      <c r="I122" s="47"/>
      <c r="J122" s="47"/>
    </row>
    <row r="123" spans="2:10" x14ac:dyDescent="0.45">
      <c r="B123" s="34" t="s">
        <v>558</v>
      </c>
      <c r="C123" s="47"/>
      <c r="D123" s="47"/>
      <c r="E123" s="47"/>
      <c r="F123" s="47"/>
      <c r="G123" s="47"/>
      <c r="H123" s="47"/>
      <c r="I123" s="47"/>
      <c r="J123" s="47"/>
    </row>
    <row r="124" spans="2:10" x14ac:dyDescent="0.45">
      <c r="B124" s="34" t="s">
        <v>559</v>
      </c>
      <c r="C124" s="47"/>
      <c r="D124" s="47"/>
      <c r="E124" s="47"/>
      <c r="F124" s="47"/>
      <c r="G124" s="47"/>
      <c r="H124" s="47"/>
      <c r="I124" s="47"/>
      <c r="J124" s="47"/>
    </row>
    <row r="125" spans="2:10" x14ac:dyDescent="0.45">
      <c r="B125" s="34" t="s">
        <v>560</v>
      </c>
      <c r="C125" s="47"/>
      <c r="D125" s="47"/>
      <c r="E125" s="47"/>
      <c r="F125" s="47"/>
      <c r="G125" s="47"/>
      <c r="H125" s="47"/>
      <c r="I125" s="47"/>
      <c r="J125" s="47"/>
    </row>
    <row r="126" spans="2:10" x14ac:dyDescent="0.45">
      <c r="B126" s="32"/>
      <c r="C126" s="32"/>
      <c r="D126" s="32"/>
      <c r="E126" s="32"/>
      <c r="F126" s="32"/>
      <c r="G126" s="32"/>
      <c r="H126" s="32"/>
      <c r="I126" s="32"/>
      <c r="J126" s="32"/>
    </row>
    <row r="127" spans="2:10" x14ac:dyDescent="0.45">
      <c r="B127" s="32"/>
      <c r="C127" s="32"/>
      <c r="D127" s="32"/>
      <c r="E127" s="32"/>
      <c r="F127" s="32"/>
      <c r="G127" s="32"/>
      <c r="H127" s="32"/>
      <c r="I127" s="32"/>
      <c r="J127" s="32"/>
    </row>
    <row r="128" spans="2:10" x14ac:dyDescent="0.45">
      <c r="C128" s="149">
        <v>46143</v>
      </c>
      <c r="D128" s="146"/>
      <c r="E128" s="146"/>
      <c r="F128" s="146"/>
      <c r="G128" s="146"/>
      <c r="H128" s="146"/>
      <c r="I128" s="139"/>
      <c r="J128" s="47"/>
    </row>
    <row r="129" spans="2:11" x14ac:dyDescent="0.45">
      <c r="B129" s="32"/>
      <c r="C129" s="47"/>
      <c r="D129" s="47"/>
      <c r="E129" s="47"/>
      <c r="F129" s="47"/>
      <c r="G129" s="47"/>
      <c r="H129" s="47"/>
      <c r="I129" s="47"/>
      <c r="J129" s="47"/>
    </row>
    <row r="130" spans="2:11" x14ac:dyDescent="0.45">
      <c r="B130" s="32"/>
      <c r="C130" s="47"/>
      <c r="D130" s="47"/>
      <c r="E130" s="47"/>
      <c r="F130" s="47"/>
      <c r="G130" s="47"/>
      <c r="H130" s="47"/>
      <c r="I130" s="47"/>
      <c r="J130" s="47"/>
    </row>
    <row r="131" spans="2:11" x14ac:dyDescent="0.45">
      <c r="B131" s="32"/>
      <c r="C131" s="47"/>
      <c r="D131" s="47"/>
      <c r="E131" s="47"/>
      <c r="F131" s="47"/>
      <c r="G131" s="47"/>
      <c r="H131" s="47"/>
      <c r="I131" s="47"/>
      <c r="J131" s="47"/>
    </row>
    <row r="132" spans="2:11" x14ac:dyDescent="0.45">
      <c r="B132" s="32"/>
      <c r="C132" s="47"/>
      <c r="D132" s="47"/>
      <c r="E132" s="47"/>
      <c r="F132" s="47"/>
      <c r="G132" s="47"/>
      <c r="H132" s="47"/>
      <c r="I132" s="47"/>
      <c r="J132" s="47"/>
    </row>
    <row r="133" spans="2:11" x14ac:dyDescent="0.45">
      <c r="B133" s="135" t="s">
        <v>30</v>
      </c>
      <c r="C133" s="135" t="s">
        <v>31</v>
      </c>
      <c r="D133" s="44" t="s">
        <v>32</v>
      </c>
      <c r="E133" s="44"/>
      <c r="F133" s="44"/>
      <c r="G133" s="44"/>
      <c r="H133" s="25"/>
      <c r="I133" s="25"/>
      <c r="J133" s="47"/>
    </row>
    <row r="134" spans="2:11" x14ac:dyDescent="0.45">
      <c r="B134" s="135"/>
      <c r="C134" s="135" t="s">
        <v>33</v>
      </c>
      <c r="D134" s="44" t="s">
        <v>34</v>
      </c>
      <c r="E134" s="44"/>
      <c r="F134" s="44"/>
      <c r="G134" s="44"/>
      <c r="H134" s="25"/>
      <c r="I134" s="25"/>
      <c r="J134" s="47"/>
    </row>
    <row r="135" spans="2:11" x14ac:dyDescent="0.45">
      <c r="B135" s="135"/>
      <c r="C135" s="135" t="s">
        <v>35</v>
      </c>
      <c r="D135" s="44" t="s">
        <v>36</v>
      </c>
      <c r="E135" s="44"/>
      <c r="F135" s="44"/>
      <c r="G135" s="44"/>
      <c r="H135" s="135" t="s">
        <v>37</v>
      </c>
      <c r="I135" s="15"/>
      <c r="J135" s="47"/>
    </row>
    <row r="136" spans="2:11" x14ac:dyDescent="0.45">
      <c r="B136" s="135"/>
      <c r="C136" s="135"/>
      <c r="D136" s="135"/>
      <c r="E136" s="135"/>
      <c r="F136" s="135"/>
      <c r="G136" s="135"/>
      <c r="H136" s="135"/>
      <c r="I136" s="135"/>
      <c r="J136" s="47"/>
    </row>
    <row r="137" spans="2:11" x14ac:dyDescent="0.45">
      <c r="B137" s="135"/>
      <c r="C137" s="135"/>
      <c r="D137" s="135"/>
      <c r="E137" s="135"/>
      <c r="F137" s="135"/>
      <c r="G137" s="135"/>
      <c r="H137" s="135"/>
      <c r="I137" s="135"/>
      <c r="J137" s="47"/>
    </row>
    <row r="138" spans="2:11" x14ac:dyDescent="0.45">
      <c r="B138" s="135" t="s">
        <v>38</v>
      </c>
      <c r="C138" s="135" t="s">
        <v>31</v>
      </c>
      <c r="D138" s="44" t="s">
        <v>39</v>
      </c>
      <c r="E138" s="44"/>
      <c r="F138" s="44"/>
      <c r="G138" s="44"/>
      <c r="H138" s="6"/>
      <c r="I138" s="6"/>
      <c r="J138" s="47"/>
      <c r="K138" s="114" t="s">
        <v>19</v>
      </c>
    </row>
    <row r="139" spans="2:11" x14ac:dyDescent="0.45">
      <c r="B139" s="135"/>
      <c r="C139" s="135" t="s">
        <v>33</v>
      </c>
      <c r="D139" s="44" t="s">
        <v>15</v>
      </c>
      <c r="E139" s="44"/>
      <c r="F139" s="44"/>
      <c r="G139" s="44"/>
      <c r="H139" s="6"/>
      <c r="I139" s="6"/>
      <c r="J139" s="47"/>
      <c r="K139" s="114" t="s">
        <v>19</v>
      </c>
    </row>
    <row r="140" spans="2:11" x14ac:dyDescent="0.45">
      <c r="B140" s="135"/>
      <c r="C140" s="135" t="s">
        <v>35</v>
      </c>
      <c r="D140" s="44" t="s">
        <v>14</v>
      </c>
      <c r="E140" s="44"/>
      <c r="F140" s="44"/>
      <c r="G140" s="44"/>
      <c r="H140" s="135" t="s">
        <v>37</v>
      </c>
      <c r="I140" s="15"/>
      <c r="J140" s="32"/>
      <c r="K140" s="114" t="s">
        <v>19</v>
      </c>
    </row>
    <row r="141" spans="2:11" x14ac:dyDescent="0.45">
      <c r="B141" s="135"/>
      <c r="C141" s="135"/>
      <c r="D141" s="25"/>
      <c r="E141" s="25"/>
      <c r="F141" s="25"/>
      <c r="G141" s="25"/>
      <c r="H141" s="135"/>
      <c r="I141" s="15"/>
      <c r="J141" s="32"/>
    </row>
    <row r="142" spans="2:11" x14ac:dyDescent="0.45">
      <c r="B142" s="135"/>
      <c r="C142" s="135"/>
      <c r="D142" s="25"/>
      <c r="E142" s="25"/>
      <c r="F142" s="25"/>
      <c r="G142" s="25"/>
      <c r="H142" s="135"/>
      <c r="I142" s="15"/>
      <c r="J142" s="32"/>
    </row>
    <row r="143" spans="2:11" x14ac:dyDescent="0.45">
      <c r="B143" s="135"/>
      <c r="C143" s="135"/>
      <c r="D143" s="25"/>
      <c r="E143" s="25"/>
      <c r="F143" s="25"/>
      <c r="G143" s="25"/>
      <c r="H143" s="135"/>
      <c r="I143" s="15"/>
      <c r="J143" s="32"/>
    </row>
    <row r="144" spans="2:11" x14ac:dyDescent="0.45">
      <c r="B144" s="28" t="s">
        <v>561</v>
      </c>
      <c r="C144" s="49"/>
      <c r="D144" s="50"/>
      <c r="E144" s="50"/>
      <c r="F144" s="50"/>
      <c r="G144" s="50"/>
      <c r="H144" s="49"/>
      <c r="I144" s="15"/>
      <c r="J144" s="32"/>
    </row>
    <row r="145" spans="2:12" x14ac:dyDescent="0.45">
      <c r="B145" s="246" t="s">
        <v>562</v>
      </c>
      <c r="C145" s="152"/>
      <c r="D145" s="248" t="s">
        <v>303</v>
      </c>
      <c r="E145" s="152"/>
      <c r="F145" s="248" t="s">
        <v>563</v>
      </c>
      <c r="G145" s="152"/>
      <c r="H145" s="248" t="s">
        <v>291</v>
      </c>
      <c r="I145" s="152"/>
      <c r="J145" s="32"/>
    </row>
    <row r="146" spans="2:12" x14ac:dyDescent="0.45">
      <c r="B146" s="247" t="s">
        <v>386</v>
      </c>
      <c r="C146" s="154"/>
      <c r="D146" s="239" t="s">
        <v>564</v>
      </c>
      <c r="E146" s="152"/>
      <c r="F146" s="239" t="s">
        <v>353</v>
      </c>
      <c r="G146" s="152"/>
      <c r="H146" s="239" t="s">
        <v>565</v>
      </c>
      <c r="I146" s="152"/>
      <c r="J146" s="32"/>
    </row>
    <row r="147" spans="2:12" x14ac:dyDescent="0.45">
      <c r="B147" s="164"/>
      <c r="C147" s="158"/>
      <c r="D147" s="242" t="s">
        <v>566</v>
      </c>
      <c r="E147" s="152"/>
      <c r="F147" s="239" t="s">
        <v>567</v>
      </c>
      <c r="G147" s="152"/>
      <c r="H147" s="239" t="s">
        <v>568</v>
      </c>
      <c r="I147" s="152"/>
      <c r="J147" s="32"/>
    </row>
    <row r="148" spans="2:12" ht="99" customHeight="1" x14ac:dyDescent="0.45">
      <c r="B148" s="247" t="s">
        <v>569</v>
      </c>
      <c r="C148" s="152"/>
      <c r="D148" s="242" t="s">
        <v>570</v>
      </c>
      <c r="E148" s="152"/>
      <c r="F148" s="239" t="s">
        <v>571</v>
      </c>
      <c r="G148" s="152"/>
      <c r="H148" s="242" t="s">
        <v>572</v>
      </c>
      <c r="I148" s="152"/>
      <c r="J148" s="32"/>
      <c r="K148" s="242"/>
      <c r="L148" s="152"/>
    </row>
    <row r="149" spans="2:12" x14ac:dyDescent="0.45">
      <c r="B149" s="241" t="s">
        <v>403</v>
      </c>
      <c r="C149" s="154"/>
      <c r="D149" s="239" t="s">
        <v>573</v>
      </c>
      <c r="E149" s="154"/>
      <c r="F149" s="239" t="s">
        <v>574</v>
      </c>
      <c r="G149" s="152"/>
      <c r="H149" s="239" t="s">
        <v>575</v>
      </c>
      <c r="I149" s="152"/>
      <c r="J149" s="32"/>
    </row>
    <row r="150" spans="2:12" x14ac:dyDescent="0.45">
      <c r="B150" s="232"/>
      <c r="C150" s="156"/>
      <c r="D150" s="164"/>
      <c r="E150" s="158"/>
      <c r="F150" s="239" t="s">
        <v>363</v>
      </c>
      <c r="G150" s="152"/>
      <c r="H150" s="250" t="s">
        <v>576</v>
      </c>
      <c r="I150" s="152"/>
      <c r="J150" s="32"/>
    </row>
    <row r="151" spans="2:12" x14ac:dyDescent="0.45">
      <c r="B151" s="232"/>
      <c r="C151" s="156"/>
      <c r="D151" s="240" t="s">
        <v>577</v>
      </c>
      <c r="E151" s="152"/>
      <c r="F151" s="240" t="s">
        <v>363</v>
      </c>
      <c r="G151" s="152"/>
      <c r="H151" s="239" t="s">
        <v>578</v>
      </c>
      <c r="I151" s="154"/>
      <c r="J151" s="32"/>
    </row>
    <row r="152" spans="2:12" x14ac:dyDescent="0.45">
      <c r="B152" s="164"/>
      <c r="C152" s="158"/>
      <c r="D152" s="240" t="s">
        <v>579</v>
      </c>
      <c r="E152" s="152"/>
      <c r="F152" s="240" t="s">
        <v>574</v>
      </c>
      <c r="G152" s="152"/>
      <c r="H152" s="164"/>
      <c r="I152" s="158"/>
      <c r="J152" s="32"/>
    </row>
    <row r="153" spans="2:12" x14ac:dyDescent="0.45">
      <c r="B153" s="247" t="s">
        <v>580</v>
      </c>
      <c r="C153" s="152"/>
      <c r="D153" s="239" t="s">
        <v>362</v>
      </c>
      <c r="E153" s="152"/>
      <c r="F153" s="239" t="s">
        <v>363</v>
      </c>
      <c r="G153" s="152"/>
      <c r="H153" s="239" t="s">
        <v>581</v>
      </c>
      <c r="I153" s="152"/>
      <c r="J153" s="32"/>
    </row>
    <row r="154" spans="2:12" x14ac:dyDescent="0.45">
      <c r="B154" s="136"/>
      <c r="C154" s="135"/>
      <c r="D154" s="135"/>
      <c r="E154" s="135"/>
      <c r="F154" s="50"/>
      <c r="G154" s="50"/>
      <c r="H154" s="49"/>
      <c r="I154" s="15"/>
      <c r="J154" s="32"/>
    </row>
    <row r="155" spans="2:12" x14ac:dyDescent="0.45">
      <c r="B155" s="28" t="s">
        <v>582</v>
      </c>
      <c r="C155" s="135"/>
      <c r="D155" s="135"/>
      <c r="E155" s="135"/>
      <c r="F155" s="50"/>
      <c r="G155" s="50"/>
      <c r="H155" s="49"/>
      <c r="I155" s="15"/>
      <c r="J155" s="32"/>
    </row>
    <row r="156" spans="2:12" x14ac:dyDescent="0.45">
      <c r="B156" s="246" t="s">
        <v>303</v>
      </c>
      <c r="C156" s="152"/>
      <c r="D156" s="248" t="s">
        <v>583</v>
      </c>
      <c r="E156" s="152"/>
      <c r="F156" s="248" t="s">
        <v>584</v>
      </c>
      <c r="G156" s="151"/>
      <c r="H156" s="151"/>
      <c r="I156" s="152"/>
      <c r="J156" s="32"/>
    </row>
    <row r="157" spans="2:12" x14ac:dyDescent="0.45">
      <c r="B157" s="160" t="s">
        <v>585</v>
      </c>
      <c r="C157" s="154"/>
      <c r="D157" s="160" t="s">
        <v>586</v>
      </c>
      <c r="E157" s="154"/>
      <c r="F157" s="241" t="s">
        <v>587</v>
      </c>
      <c r="G157" s="196"/>
      <c r="H157" s="196"/>
      <c r="I157" s="154"/>
      <c r="J157" s="32"/>
    </row>
    <row r="158" spans="2:12" x14ac:dyDescent="0.45">
      <c r="B158" s="232"/>
      <c r="C158" s="156"/>
      <c r="D158" s="232"/>
      <c r="E158" s="156"/>
      <c r="F158" s="232"/>
      <c r="G158" s="146"/>
      <c r="H158" s="146"/>
      <c r="I158" s="156"/>
      <c r="J158" s="32"/>
    </row>
    <row r="159" spans="2:12" x14ac:dyDescent="0.45">
      <c r="B159" s="232"/>
      <c r="C159" s="156"/>
      <c r="D159" s="232"/>
      <c r="E159" s="156"/>
      <c r="F159" s="164"/>
      <c r="G159" s="179"/>
      <c r="H159" s="179"/>
      <c r="I159" s="158"/>
      <c r="J159" s="32"/>
    </row>
    <row r="160" spans="2:12" x14ac:dyDescent="0.45">
      <c r="B160" s="232"/>
      <c r="C160" s="156"/>
      <c r="D160" s="232"/>
      <c r="E160" s="156"/>
      <c r="F160" s="241" t="s">
        <v>588</v>
      </c>
      <c r="G160" s="151"/>
      <c r="H160" s="151"/>
      <c r="I160" s="152"/>
      <c r="J160" s="32"/>
    </row>
    <row r="161" spans="2:10" x14ac:dyDescent="0.45">
      <c r="B161" s="164"/>
      <c r="C161" s="158"/>
      <c r="D161" s="164"/>
      <c r="E161" s="158"/>
      <c r="F161" s="241" t="s">
        <v>589</v>
      </c>
      <c r="G161" s="151"/>
      <c r="H161" s="151"/>
      <c r="I161" s="152"/>
      <c r="J161" s="32"/>
    </row>
    <row r="162" spans="2:10" x14ac:dyDescent="0.45">
      <c r="B162" s="160" t="s">
        <v>386</v>
      </c>
      <c r="C162" s="154"/>
      <c r="D162" s="160" t="s">
        <v>590</v>
      </c>
      <c r="E162" s="152"/>
      <c r="F162" s="241" t="s">
        <v>591</v>
      </c>
      <c r="G162" s="151"/>
      <c r="H162" s="151"/>
      <c r="I162" s="152"/>
      <c r="J162" s="32"/>
    </row>
    <row r="163" spans="2:10" ht="26.4" customHeight="1" x14ac:dyDescent="0.45">
      <c r="B163" s="232"/>
      <c r="C163" s="156"/>
      <c r="D163" s="160" t="s">
        <v>592</v>
      </c>
      <c r="E163" s="152"/>
      <c r="F163" s="241" t="s">
        <v>593</v>
      </c>
      <c r="G163" s="151"/>
      <c r="H163" s="151"/>
      <c r="I163" s="152"/>
      <c r="J163" s="32"/>
    </row>
    <row r="164" spans="2:10" x14ac:dyDescent="0.45">
      <c r="B164" s="232"/>
      <c r="C164" s="156"/>
      <c r="D164" s="160" t="s">
        <v>594</v>
      </c>
      <c r="E164" s="152"/>
      <c r="F164" s="241" t="s">
        <v>595</v>
      </c>
      <c r="G164" s="151"/>
      <c r="H164" s="151"/>
      <c r="I164" s="152"/>
      <c r="J164" s="32"/>
    </row>
    <row r="165" spans="2:10" x14ac:dyDescent="0.45">
      <c r="B165" s="232"/>
      <c r="C165" s="156"/>
      <c r="D165" s="160" t="s">
        <v>596</v>
      </c>
      <c r="E165" s="152"/>
      <c r="F165" s="241" t="s">
        <v>597</v>
      </c>
      <c r="G165" s="151"/>
      <c r="H165" s="151"/>
      <c r="I165" s="152"/>
      <c r="J165" s="32"/>
    </row>
    <row r="166" spans="2:10" x14ac:dyDescent="0.45">
      <c r="B166" s="232"/>
      <c r="C166" s="156"/>
      <c r="D166" s="160" t="s">
        <v>598</v>
      </c>
      <c r="E166" s="152"/>
      <c r="F166" s="241" t="s">
        <v>599</v>
      </c>
      <c r="G166" s="151"/>
      <c r="H166" s="151"/>
      <c r="I166" s="152"/>
      <c r="J166" s="32"/>
    </row>
    <row r="167" spans="2:10" x14ac:dyDescent="0.45">
      <c r="B167" s="164"/>
      <c r="C167" s="158"/>
      <c r="D167" s="160" t="s">
        <v>600</v>
      </c>
      <c r="E167" s="152"/>
      <c r="F167" s="241" t="s">
        <v>601</v>
      </c>
      <c r="G167" s="151"/>
      <c r="H167" s="151"/>
      <c r="I167" s="152"/>
      <c r="J167" s="32"/>
    </row>
    <row r="168" spans="2:10" x14ac:dyDescent="0.45">
      <c r="B168" s="160" t="s">
        <v>403</v>
      </c>
      <c r="C168" s="154"/>
      <c r="D168" s="160" t="s">
        <v>586</v>
      </c>
      <c r="E168" s="154"/>
      <c r="F168" s="241" t="s">
        <v>602</v>
      </c>
      <c r="G168" s="151"/>
      <c r="H168" s="151"/>
      <c r="I168" s="152"/>
      <c r="J168" s="32"/>
    </row>
    <row r="169" spans="2:10" x14ac:dyDescent="0.45">
      <c r="B169" s="232"/>
      <c r="C169" s="156"/>
      <c r="D169" s="232"/>
      <c r="E169" s="156"/>
      <c r="F169" s="241" t="s">
        <v>603</v>
      </c>
      <c r="G169" s="151"/>
      <c r="H169" s="151"/>
      <c r="I169" s="152"/>
      <c r="J169" s="32"/>
    </row>
    <row r="170" spans="2:10" x14ac:dyDescent="0.45">
      <c r="B170" s="164"/>
      <c r="C170" s="158"/>
      <c r="D170" s="164"/>
      <c r="E170" s="158"/>
      <c r="F170" s="241" t="s">
        <v>604</v>
      </c>
      <c r="G170" s="151"/>
      <c r="H170" s="151"/>
      <c r="I170" s="152"/>
      <c r="J170" s="32"/>
    </row>
    <row r="171" spans="2:10" x14ac:dyDescent="0.45">
      <c r="B171" s="160" t="s">
        <v>605</v>
      </c>
      <c r="C171" s="154"/>
      <c r="D171" s="150" t="s">
        <v>606</v>
      </c>
      <c r="E171" s="154"/>
      <c r="F171" s="241" t="s">
        <v>607</v>
      </c>
      <c r="G171" s="151"/>
      <c r="H171" s="151"/>
      <c r="I171" s="152"/>
      <c r="J171" s="32"/>
    </row>
    <row r="172" spans="2:10" x14ac:dyDescent="0.45">
      <c r="B172" s="232"/>
      <c r="C172" s="156"/>
      <c r="D172" s="232"/>
      <c r="E172" s="156"/>
      <c r="F172" s="241" t="s">
        <v>608</v>
      </c>
      <c r="G172" s="151"/>
      <c r="H172" s="151"/>
      <c r="I172" s="152"/>
      <c r="J172" s="32"/>
    </row>
    <row r="173" spans="2:10" x14ac:dyDescent="0.45">
      <c r="B173" s="232"/>
      <c r="C173" s="156"/>
      <c r="D173" s="232"/>
      <c r="E173" s="156"/>
      <c r="F173" s="241" t="s">
        <v>609</v>
      </c>
      <c r="G173" s="151"/>
      <c r="H173" s="151"/>
      <c r="I173" s="152"/>
      <c r="J173" s="32"/>
    </row>
    <row r="174" spans="2:10" x14ac:dyDescent="0.45">
      <c r="B174" s="232"/>
      <c r="C174" s="156"/>
      <c r="D174" s="164"/>
      <c r="E174" s="158"/>
      <c r="F174" s="241" t="s">
        <v>610</v>
      </c>
      <c r="G174" s="151"/>
      <c r="H174" s="151"/>
      <c r="I174" s="152"/>
      <c r="J174" s="32"/>
    </row>
    <row r="175" spans="2:10" x14ac:dyDescent="0.45">
      <c r="B175" s="232"/>
      <c r="C175" s="156"/>
      <c r="D175" s="243" t="s">
        <v>569</v>
      </c>
      <c r="E175" s="154"/>
      <c r="F175" s="241" t="s">
        <v>611</v>
      </c>
      <c r="G175" s="151"/>
      <c r="H175" s="151"/>
      <c r="I175" s="152"/>
      <c r="J175" s="32"/>
    </row>
    <row r="176" spans="2:10" x14ac:dyDescent="0.45">
      <c r="B176" s="232"/>
      <c r="C176" s="156"/>
      <c r="D176" s="232"/>
      <c r="E176" s="156"/>
      <c r="F176" s="241" t="s">
        <v>612</v>
      </c>
      <c r="G176" s="151"/>
      <c r="H176" s="151"/>
      <c r="I176" s="152"/>
      <c r="J176" s="32"/>
    </row>
    <row r="177" spans="2:10" ht="26.4" customHeight="1" x14ac:dyDescent="0.45">
      <c r="B177" s="164"/>
      <c r="C177" s="158"/>
      <c r="D177" s="164"/>
      <c r="E177" s="158"/>
      <c r="F177" s="241" t="s">
        <v>613</v>
      </c>
      <c r="G177" s="151"/>
      <c r="H177" s="151"/>
      <c r="I177" s="152"/>
      <c r="J177" s="32"/>
    </row>
    <row r="178" spans="2:10" x14ac:dyDescent="0.45">
      <c r="B178" s="160" t="s">
        <v>614</v>
      </c>
      <c r="C178" s="152"/>
      <c r="D178" s="243" t="s">
        <v>586</v>
      </c>
      <c r="E178" s="154"/>
      <c r="F178" s="239" t="s">
        <v>615</v>
      </c>
      <c r="G178" s="151"/>
      <c r="H178" s="151"/>
      <c r="I178" s="152"/>
      <c r="J178" s="32"/>
    </row>
    <row r="179" spans="2:10" x14ac:dyDescent="0.45">
      <c r="B179" s="160" t="s">
        <v>616</v>
      </c>
      <c r="C179" s="152"/>
      <c r="D179" s="164"/>
      <c r="E179" s="158"/>
      <c r="F179" s="239" t="s">
        <v>617</v>
      </c>
      <c r="G179" s="151"/>
      <c r="H179" s="151"/>
      <c r="I179" s="152"/>
      <c r="J179" s="32"/>
    </row>
    <row r="180" spans="2:10" x14ac:dyDescent="0.45">
      <c r="B180" s="160" t="s">
        <v>618</v>
      </c>
      <c r="C180" s="152"/>
      <c r="D180" s="243" t="s">
        <v>586</v>
      </c>
      <c r="E180" s="152"/>
      <c r="F180" s="239" t="s">
        <v>619</v>
      </c>
      <c r="G180" s="151"/>
      <c r="H180" s="151"/>
      <c r="I180" s="152"/>
      <c r="J180" s="32"/>
    </row>
    <row r="181" spans="2:10" ht="26.4" customHeight="1" x14ac:dyDescent="0.45">
      <c r="B181" s="160" t="s">
        <v>620</v>
      </c>
      <c r="C181" s="152"/>
      <c r="D181" s="243" t="s">
        <v>586</v>
      </c>
      <c r="E181" s="152"/>
      <c r="F181" s="242" t="s">
        <v>621</v>
      </c>
      <c r="G181" s="151"/>
      <c r="H181" s="151"/>
      <c r="I181" s="152"/>
      <c r="J181" s="32"/>
    </row>
    <row r="182" spans="2:10" x14ac:dyDescent="0.45">
      <c r="B182" s="160" t="s">
        <v>622</v>
      </c>
      <c r="C182" s="154"/>
      <c r="D182" s="243" t="s">
        <v>586</v>
      </c>
      <c r="E182" s="154"/>
      <c r="F182" s="242" t="s">
        <v>623</v>
      </c>
      <c r="G182" s="151"/>
      <c r="H182" s="151"/>
      <c r="I182" s="152"/>
      <c r="J182" s="32"/>
    </row>
    <row r="183" spans="2:10" ht="26.4" customHeight="1" x14ac:dyDescent="0.45">
      <c r="B183" s="232"/>
      <c r="C183" s="156"/>
      <c r="D183" s="232"/>
      <c r="E183" s="156"/>
      <c r="F183" s="242" t="s">
        <v>624</v>
      </c>
      <c r="G183" s="151"/>
      <c r="H183" s="151"/>
      <c r="I183" s="152"/>
      <c r="J183" s="32"/>
    </row>
    <row r="184" spans="2:10" x14ac:dyDescent="0.45">
      <c r="B184" s="232"/>
      <c r="C184" s="156"/>
      <c r="D184" s="232"/>
      <c r="E184" s="156"/>
      <c r="F184" s="242" t="s">
        <v>625</v>
      </c>
      <c r="G184" s="151"/>
      <c r="H184" s="151"/>
      <c r="I184" s="152"/>
      <c r="J184" s="32"/>
    </row>
    <row r="185" spans="2:10" x14ac:dyDescent="0.45">
      <c r="B185" s="164"/>
      <c r="C185" s="158"/>
      <c r="D185" s="164"/>
      <c r="E185" s="158"/>
      <c r="F185" s="242" t="s">
        <v>626</v>
      </c>
      <c r="G185" s="151"/>
      <c r="H185" s="151"/>
      <c r="I185" s="152"/>
      <c r="J185" s="32"/>
    </row>
    <row r="186" spans="2:10" x14ac:dyDescent="0.45">
      <c r="B186" s="34"/>
      <c r="C186" s="135"/>
      <c r="D186" s="25"/>
      <c r="E186" s="25"/>
      <c r="F186" s="25"/>
      <c r="G186" s="25"/>
      <c r="H186" s="135"/>
    </row>
    <row r="187" spans="2:10" x14ac:dyDescent="0.45">
      <c r="B187" s="34"/>
      <c r="C187" s="135"/>
      <c r="D187" s="25"/>
      <c r="E187" s="25"/>
      <c r="F187" s="25"/>
      <c r="G187" s="25"/>
      <c r="H187" s="135"/>
    </row>
    <row r="189" spans="2:10" x14ac:dyDescent="0.45">
      <c r="I189" s="15"/>
    </row>
    <row r="190" spans="2:10" x14ac:dyDescent="0.45">
      <c r="I190" s="15"/>
    </row>
    <row r="191" spans="2:10" x14ac:dyDescent="0.45">
      <c r="I191" s="15"/>
    </row>
    <row r="192" spans="2:10" x14ac:dyDescent="0.45">
      <c r="I192" s="15"/>
    </row>
    <row r="193" spans="9:9" x14ac:dyDescent="0.45">
      <c r="I193" s="15"/>
    </row>
    <row r="194" spans="9:9" x14ac:dyDescent="0.45">
      <c r="I194" s="15"/>
    </row>
    <row r="195" spans="9:9" x14ac:dyDescent="0.45">
      <c r="I195" s="15"/>
    </row>
    <row r="196" spans="9:9" x14ac:dyDescent="0.45">
      <c r="I196" s="15"/>
    </row>
    <row r="197" spans="9:9" x14ac:dyDescent="0.45">
      <c r="I197" s="15"/>
    </row>
    <row r="198" spans="9:9" x14ac:dyDescent="0.45">
      <c r="I198" s="15"/>
    </row>
  </sheetData>
  <mergeCells count="96">
    <mergeCell ref="F182:I182"/>
    <mergeCell ref="B145:C145"/>
    <mergeCell ref="D145:E145"/>
    <mergeCell ref="B181:C181"/>
    <mergeCell ref="F145:G145"/>
    <mergeCell ref="F178:I178"/>
    <mergeCell ref="H153:I153"/>
    <mergeCell ref="D175:E177"/>
    <mergeCell ref="D147:E147"/>
    <mergeCell ref="F177:I177"/>
    <mergeCell ref="F164:I164"/>
    <mergeCell ref="F156:I156"/>
    <mergeCell ref="B5:J5"/>
    <mergeCell ref="D146:E146"/>
    <mergeCell ref="F149:G149"/>
    <mergeCell ref="H149:I149"/>
    <mergeCell ref="D149:E150"/>
    <mergeCell ref="D83:E83"/>
    <mergeCell ref="C128:H128"/>
    <mergeCell ref="H150:I150"/>
    <mergeCell ref="B10:J10"/>
    <mergeCell ref="D82:E82"/>
    <mergeCell ref="B182:C185"/>
    <mergeCell ref="H147:I147"/>
    <mergeCell ref="F167:I167"/>
    <mergeCell ref="D81:E81"/>
    <mergeCell ref="F161:I161"/>
    <mergeCell ref="F175:I175"/>
    <mergeCell ref="D163:E163"/>
    <mergeCell ref="B148:C148"/>
    <mergeCell ref="D162:E162"/>
    <mergeCell ref="D156:E156"/>
    <mergeCell ref="D178:E179"/>
    <mergeCell ref="F163:I163"/>
    <mergeCell ref="F181:I181"/>
    <mergeCell ref="F151:G151"/>
    <mergeCell ref="F165:I165"/>
    <mergeCell ref="F180:I180"/>
    <mergeCell ref="K148:L148"/>
    <mergeCell ref="B171:C177"/>
    <mergeCell ref="H145:I145"/>
    <mergeCell ref="D157:E161"/>
    <mergeCell ref="B153:C153"/>
    <mergeCell ref="D153:E153"/>
    <mergeCell ref="F147:G147"/>
    <mergeCell ref="F166:I166"/>
    <mergeCell ref="F157:I159"/>
    <mergeCell ref="D181:E181"/>
    <mergeCell ref="F150:G150"/>
    <mergeCell ref="A7:J7"/>
    <mergeCell ref="D165:E165"/>
    <mergeCell ref="D180:E180"/>
    <mergeCell ref="B149:C152"/>
    <mergeCell ref="D152:E152"/>
    <mergeCell ref="D167:E167"/>
    <mergeCell ref="F152:G152"/>
    <mergeCell ref="A3:J3"/>
    <mergeCell ref="D164:E164"/>
    <mergeCell ref="F185:I185"/>
    <mergeCell ref="D148:E148"/>
    <mergeCell ref="F148:G148"/>
    <mergeCell ref="F184:I184"/>
    <mergeCell ref="F176:I176"/>
    <mergeCell ref="B156:C156"/>
    <mergeCell ref="F170:I170"/>
    <mergeCell ref="F146:G146"/>
    <mergeCell ref="H146:I146"/>
    <mergeCell ref="B180:C180"/>
    <mergeCell ref="H148:I148"/>
    <mergeCell ref="B146:C147"/>
    <mergeCell ref="F162:I162"/>
    <mergeCell ref="F171:I171"/>
    <mergeCell ref="F183:I183"/>
    <mergeCell ref="H151:I152"/>
    <mergeCell ref="F153:G153"/>
    <mergeCell ref="D182:E185"/>
    <mergeCell ref="A6:J6"/>
    <mergeCell ref="B178:C178"/>
    <mergeCell ref="F81:G81"/>
    <mergeCell ref="F173:I173"/>
    <mergeCell ref="B168:C170"/>
    <mergeCell ref="B157:C161"/>
    <mergeCell ref="D168:E170"/>
    <mergeCell ref="F169:I169"/>
    <mergeCell ref="F160:I160"/>
    <mergeCell ref="B179:C179"/>
    <mergeCell ref="F172:I172"/>
    <mergeCell ref="D166:E166"/>
    <mergeCell ref="F82:G84"/>
    <mergeCell ref="D84:E84"/>
    <mergeCell ref="B162:C167"/>
    <mergeCell ref="F179:I179"/>
    <mergeCell ref="D151:E151"/>
    <mergeCell ref="D171:E174"/>
    <mergeCell ref="F174:I174"/>
    <mergeCell ref="F168:I168"/>
  </mergeCells>
  <phoneticPr fontId="4" type="noConversion"/>
  <pageMargins left="0.7" right="0.7" top="0.75" bottom="0.75" header="0.3" footer="0.3"/>
  <pageSetup paperSize="9" scale="72" fitToHeight="0" orientation="portrait" r:id="rId1"/>
  <rowBreaks count="3" manualBreakCount="3">
    <brk id="59" max="9" man="1"/>
    <brk id="118" max="9" man="1"/>
    <brk id="170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93"/>
  <sheetViews>
    <sheetView showGridLines="0" view="pageBreakPreview" topLeftCell="A58" zoomScale="85" zoomScaleNormal="100" zoomScaleSheetLayoutView="85" workbookViewId="0">
      <selection activeCell="H89" sqref="H89"/>
    </sheetView>
  </sheetViews>
  <sheetFormatPr defaultColWidth="9" defaultRowHeight="17" x14ac:dyDescent="0.45"/>
  <cols>
    <col min="1" max="1" width="2.6640625" style="15" customWidth="1"/>
    <col min="2" max="8" width="12.6640625" style="15" customWidth="1"/>
    <col min="9" max="9" width="12.6640625" style="16" customWidth="1"/>
    <col min="10" max="10" width="2.6640625" style="15" customWidth="1"/>
    <col min="11" max="11" width="9" style="15" customWidth="1"/>
    <col min="12" max="16384" width="9" style="15"/>
  </cols>
  <sheetData>
    <row r="1" spans="1:11" x14ac:dyDescent="0.45">
      <c r="B1" s="25"/>
      <c r="C1" s="25"/>
      <c r="D1" s="25"/>
      <c r="E1" s="25"/>
      <c r="F1" s="25"/>
      <c r="G1" s="25"/>
      <c r="H1" s="25"/>
      <c r="I1" s="25"/>
      <c r="J1" s="25"/>
    </row>
    <row r="2" spans="1:11" x14ac:dyDescent="0.45">
      <c r="B2" s="25"/>
      <c r="C2" s="25"/>
      <c r="D2" s="25"/>
      <c r="E2" s="25"/>
      <c r="F2" s="25"/>
      <c r="G2" s="25"/>
      <c r="H2" s="25"/>
      <c r="I2" s="25"/>
      <c r="J2" s="25"/>
      <c r="K2" s="15" t="s">
        <v>627</v>
      </c>
    </row>
    <row r="3" spans="1:11" ht="20.399999999999999" customHeight="1" x14ac:dyDescent="0.45">
      <c r="B3" s="199" t="s">
        <v>628</v>
      </c>
      <c r="C3" s="146"/>
      <c r="D3" s="146"/>
      <c r="E3" s="146"/>
      <c r="F3" s="146"/>
      <c r="G3" s="146"/>
      <c r="H3" s="146"/>
      <c r="I3" s="147"/>
      <c r="J3" s="146"/>
      <c r="K3" s="74" t="s">
        <v>629</v>
      </c>
    </row>
    <row r="4" spans="1:11" x14ac:dyDescent="0.45">
      <c r="B4" s="25"/>
      <c r="C4" s="25"/>
      <c r="D4" s="25"/>
      <c r="E4" s="25"/>
      <c r="F4" s="25"/>
      <c r="G4" s="25"/>
      <c r="H4" s="25"/>
      <c r="I4" s="25"/>
      <c r="J4" s="25"/>
    </row>
    <row r="5" spans="1:11" x14ac:dyDescent="0.45">
      <c r="B5" s="44"/>
      <c r="C5" s="44"/>
      <c r="D5" s="44"/>
      <c r="E5" s="44"/>
      <c r="F5" s="44"/>
      <c r="G5" s="44"/>
      <c r="H5" s="44"/>
      <c r="I5" s="44"/>
      <c r="J5" s="44"/>
    </row>
    <row r="6" spans="1:11" x14ac:dyDescent="0.45">
      <c r="A6" s="148" t="s">
        <v>630</v>
      </c>
      <c r="B6" s="146"/>
      <c r="C6" s="146"/>
      <c r="D6" s="146"/>
      <c r="E6" s="146"/>
      <c r="F6" s="146"/>
      <c r="G6" s="146"/>
      <c r="H6" s="146"/>
      <c r="I6" s="147"/>
      <c r="J6" s="146"/>
      <c r="K6" s="114" t="s">
        <v>19</v>
      </c>
    </row>
    <row r="7" spans="1:11" x14ac:dyDescent="0.45">
      <c r="A7" s="218" t="s">
        <v>631</v>
      </c>
      <c r="B7" s="146"/>
      <c r="C7" s="146"/>
      <c r="D7" s="146"/>
      <c r="E7" s="146"/>
      <c r="F7" s="146"/>
      <c r="G7" s="146"/>
      <c r="H7" s="146"/>
      <c r="I7" s="147"/>
      <c r="J7" s="146"/>
    </row>
    <row r="8" spans="1:11" x14ac:dyDescent="0.45">
      <c r="A8" s="218" t="s">
        <v>632</v>
      </c>
      <c r="B8" s="146"/>
      <c r="C8" s="146"/>
      <c r="D8" s="146"/>
      <c r="E8" s="146"/>
      <c r="F8" s="146"/>
      <c r="G8" s="146"/>
      <c r="H8" s="146"/>
      <c r="I8" s="147"/>
      <c r="J8" s="146"/>
    </row>
    <row r="9" spans="1:11" x14ac:dyDescent="0.45">
      <c r="B9" s="135"/>
      <c r="C9" s="135"/>
      <c r="D9" s="135"/>
      <c r="E9" s="135"/>
      <c r="F9" s="135"/>
      <c r="G9" s="135"/>
      <c r="H9" s="135"/>
      <c r="I9" s="135"/>
      <c r="J9" s="135"/>
    </row>
    <row r="10" spans="1:11" x14ac:dyDescent="0.45">
      <c r="B10" s="25"/>
      <c r="C10" s="25"/>
      <c r="D10" s="25"/>
      <c r="E10" s="25"/>
      <c r="F10" s="25"/>
      <c r="G10" s="25"/>
      <c r="H10" s="25"/>
      <c r="I10" s="25"/>
      <c r="J10" s="25"/>
    </row>
    <row r="11" spans="1:11" x14ac:dyDescent="0.45">
      <c r="B11" s="218" t="s">
        <v>452</v>
      </c>
      <c r="C11" s="146"/>
      <c r="D11" s="146"/>
      <c r="E11" s="146"/>
      <c r="F11" s="146"/>
      <c r="G11" s="146"/>
      <c r="H11" s="146"/>
      <c r="I11" s="147"/>
      <c r="J11" s="146"/>
    </row>
    <row r="12" spans="1:11" x14ac:dyDescent="0.45">
      <c r="B12" s="135"/>
      <c r="C12" s="135"/>
      <c r="D12" s="135"/>
      <c r="E12" s="135"/>
      <c r="F12" s="135"/>
      <c r="G12" s="135"/>
      <c r="H12" s="135"/>
      <c r="I12" s="135"/>
      <c r="J12" s="135"/>
    </row>
    <row r="13" spans="1:11" x14ac:dyDescent="0.45">
      <c r="B13" s="135"/>
      <c r="C13" s="135"/>
      <c r="D13" s="135"/>
      <c r="E13" s="135"/>
      <c r="F13" s="135"/>
      <c r="G13" s="135"/>
      <c r="H13" s="135"/>
      <c r="I13" s="135"/>
      <c r="J13" s="135"/>
    </row>
    <row r="14" spans="1:11" x14ac:dyDescent="0.45">
      <c r="B14" s="28" t="s">
        <v>40</v>
      </c>
      <c r="C14" s="28"/>
      <c r="D14" s="28"/>
      <c r="E14" s="28"/>
      <c r="F14" s="28"/>
      <c r="G14" s="28"/>
      <c r="H14" s="28"/>
      <c r="I14" s="28"/>
      <c r="J14" s="28"/>
    </row>
    <row r="15" spans="1:11" x14ac:dyDescent="0.45">
      <c r="B15" s="34" t="s">
        <v>633</v>
      </c>
      <c r="C15" s="32"/>
      <c r="D15" s="32"/>
      <c r="E15" s="32"/>
      <c r="F15" s="32"/>
      <c r="G15" s="32"/>
      <c r="H15" s="32"/>
      <c r="I15" s="32"/>
      <c r="J15" s="32"/>
    </row>
    <row r="16" spans="1:11" x14ac:dyDescent="0.45">
      <c r="B16" s="34" t="s">
        <v>634</v>
      </c>
      <c r="C16" s="32"/>
      <c r="D16" s="32"/>
      <c r="E16" s="32"/>
      <c r="F16" s="32"/>
      <c r="G16" s="32"/>
      <c r="H16" s="32"/>
      <c r="I16" s="32"/>
      <c r="J16" s="32"/>
    </row>
    <row r="17" spans="2:12" x14ac:dyDescent="0.45">
      <c r="B17" s="32"/>
      <c r="C17" s="32"/>
      <c r="D17" s="32"/>
      <c r="E17" s="32"/>
      <c r="F17" s="32"/>
      <c r="G17" s="32"/>
      <c r="H17" s="32"/>
      <c r="I17" s="32"/>
      <c r="J17" s="32"/>
    </row>
    <row r="18" spans="2:12" x14ac:dyDescent="0.45">
      <c r="B18" s="28" t="s">
        <v>455</v>
      </c>
      <c r="C18" s="28"/>
      <c r="D18" s="28"/>
      <c r="E18" s="28"/>
      <c r="F18" s="28"/>
      <c r="G18" s="28"/>
      <c r="H18" s="28"/>
      <c r="I18" s="28"/>
      <c r="J18" s="28"/>
    </row>
    <row r="19" spans="2:12" x14ac:dyDescent="0.45">
      <c r="B19" s="34" t="s">
        <v>635</v>
      </c>
      <c r="C19" s="32"/>
      <c r="D19" s="32"/>
      <c r="E19" s="32"/>
      <c r="F19" s="32"/>
      <c r="G19" s="32"/>
      <c r="H19" s="32"/>
      <c r="I19" s="32"/>
      <c r="J19" s="32"/>
    </row>
    <row r="20" spans="2:12" x14ac:dyDescent="0.45">
      <c r="B20" s="34" t="s">
        <v>636</v>
      </c>
      <c r="C20" s="47"/>
      <c r="D20" s="47"/>
      <c r="E20" s="47"/>
      <c r="F20" s="47"/>
      <c r="G20" s="47"/>
      <c r="H20" s="47"/>
      <c r="I20" s="47"/>
      <c r="J20" s="47"/>
    </row>
    <row r="21" spans="2:12" x14ac:dyDescent="0.45">
      <c r="B21" s="34" t="s">
        <v>637</v>
      </c>
      <c r="C21" s="32"/>
      <c r="D21" s="32"/>
      <c r="E21" s="32"/>
      <c r="F21" s="32"/>
      <c r="G21" s="32"/>
      <c r="H21" s="32"/>
      <c r="I21" s="32"/>
      <c r="J21" s="32"/>
    </row>
    <row r="22" spans="2:12" x14ac:dyDescent="0.45">
      <c r="B22" s="32"/>
      <c r="C22" s="47"/>
      <c r="D22" s="47"/>
      <c r="E22" s="47"/>
      <c r="F22" s="47"/>
      <c r="G22" s="47"/>
      <c r="H22" s="47"/>
      <c r="I22" s="47"/>
      <c r="J22" s="47"/>
    </row>
    <row r="23" spans="2:12" x14ac:dyDescent="0.45">
      <c r="B23" s="28" t="s">
        <v>638</v>
      </c>
      <c r="C23" s="47"/>
      <c r="D23" s="47"/>
      <c r="E23" s="47"/>
      <c r="F23" s="47"/>
      <c r="G23" s="47"/>
      <c r="H23" s="47"/>
      <c r="I23" s="47"/>
      <c r="J23" s="47"/>
    </row>
    <row r="24" spans="2:12" x14ac:dyDescent="0.45">
      <c r="B24" s="34" t="s">
        <v>639</v>
      </c>
      <c r="C24" s="28"/>
      <c r="D24" s="28"/>
      <c r="E24" s="28"/>
      <c r="F24" s="28"/>
      <c r="G24" s="28"/>
      <c r="H24" s="28"/>
      <c r="I24" s="28"/>
      <c r="J24" s="28"/>
    </row>
    <row r="25" spans="2:12" x14ac:dyDescent="0.45">
      <c r="B25" s="47" t="s">
        <v>640</v>
      </c>
      <c r="C25" s="32"/>
      <c r="D25" s="32"/>
      <c r="E25" s="32"/>
      <c r="F25" s="32"/>
      <c r="G25" s="32"/>
      <c r="H25" s="32"/>
      <c r="I25" s="32"/>
      <c r="J25" s="32"/>
    </row>
    <row r="26" spans="2:12" x14ac:dyDescent="0.45">
      <c r="B26" s="47" t="s">
        <v>641</v>
      </c>
      <c r="C26" s="32"/>
      <c r="D26" s="32"/>
      <c r="E26" s="32"/>
      <c r="F26" s="32"/>
      <c r="G26" s="32"/>
      <c r="H26" s="32"/>
      <c r="I26" s="32"/>
      <c r="J26" s="32"/>
    </row>
    <row r="27" spans="2:12" x14ac:dyDescent="0.45">
      <c r="B27" s="47" t="s">
        <v>642</v>
      </c>
      <c r="C27" s="32"/>
      <c r="D27" s="32"/>
      <c r="E27" s="32"/>
      <c r="F27" s="32"/>
      <c r="G27" s="32"/>
      <c r="H27" s="32"/>
      <c r="I27" s="32"/>
      <c r="J27" s="32"/>
    </row>
    <row r="28" spans="2:12" x14ac:dyDescent="0.45">
      <c r="B28" s="47" t="s">
        <v>643</v>
      </c>
      <c r="C28" s="32"/>
      <c r="D28" s="32"/>
      <c r="E28" s="32"/>
      <c r="F28" s="32"/>
      <c r="G28" s="32"/>
      <c r="H28" s="32"/>
      <c r="I28" s="32"/>
      <c r="J28" s="32"/>
    </row>
    <row r="29" spans="2:12" x14ac:dyDescent="0.45">
      <c r="B29" s="32"/>
      <c r="C29" s="32"/>
      <c r="D29" s="32"/>
      <c r="E29" s="32"/>
      <c r="F29" s="32"/>
      <c r="G29" s="32"/>
      <c r="H29" s="32"/>
      <c r="I29" s="32"/>
      <c r="J29" s="32"/>
    </row>
    <row r="30" spans="2:12" ht="17.75" customHeight="1" x14ac:dyDescent="0.45">
      <c r="B30" s="28" t="s">
        <v>644</v>
      </c>
      <c r="C30" s="47"/>
      <c r="D30" s="47"/>
      <c r="E30" s="47"/>
      <c r="F30" s="47"/>
      <c r="G30" s="47"/>
      <c r="H30" s="47"/>
      <c r="I30" s="47"/>
      <c r="J30" s="47"/>
      <c r="L30" s="114"/>
    </row>
    <row r="31" spans="2:12" ht="17.75" customHeight="1" x14ac:dyDescent="0.45">
      <c r="B31" s="34" t="s">
        <v>645</v>
      </c>
      <c r="C31" s="47"/>
      <c r="D31" s="47"/>
      <c r="E31" s="47"/>
      <c r="F31" s="47"/>
      <c r="G31" s="47"/>
      <c r="H31" s="47"/>
      <c r="I31" s="47"/>
      <c r="J31" s="47"/>
      <c r="K31" s="15" t="s">
        <v>19</v>
      </c>
      <c r="L31" s="114"/>
    </row>
    <row r="32" spans="2:12" ht="17.75" customHeight="1" x14ac:dyDescent="0.45">
      <c r="B32" s="32"/>
      <c r="C32" s="47"/>
      <c r="D32" s="47"/>
      <c r="E32" s="47"/>
      <c r="F32" s="47"/>
      <c r="G32" s="47"/>
      <c r="H32" s="47"/>
      <c r="I32" s="47"/>
      <c r="J32" s="47"/>
      <c r="L32" s="114"/>
    </row>
    <row r="33" spans="1:12" x14ac:dyDescent="0.45">
      <c r="B33" s="28" t="s">
        <v>646</v>
      </c>
      <c r="C33" s="47"/>
      <c r="D33" s="47"/>
      <c r="E33" s="47"/>
      <c r="F33" s="47"/>
      <c r="G33" s="47"/>
      <c r="H33" s="47"/>
      <c r="I33" s="47"/>
      <c r="J33" s="47"/>
      <c r="L33" s="114"/>
    </row>
    <row r="34" spans="1:12" x14ac:dyDescent="0.45">
      <c r="B34" s="34" t="s">
        <v>647</v>
      </c>
      <c r="C34" s="47"/>
      <c r="D34" s="47"/>
      <c r="E34" s="47"/>
      <c r="F34" s="47"/>
      <c r="G34" s="47"/>
      <c r="H34" s="47"/>
      <c r="I34" s="47"/>
      <c r="J34" s="47"/>
    </row>
    <row r="35" spans="1:12" x14ac:dyDescent="0.45">
      <c r="A35" s="16"/>
      <c r="B35" s="34" t="s">
        <v>648</v>
      </c>
      <c r="C35" s="18"/>
      <c r="D35" s="18"/>
      <c r="E35" s="18"/>
      <c r="F35" s="18"/>
      <c r="G35" s="18"/>
      <c r="H35" s="18"/>
      <c r="I35" s="18"/>
      <c r="J35" s="18"/>
    </row>
    <row r="36" spans="1:12" s="16" customFormat="1" x14ac:dyDescent="0.45">
      <c r="A36" s="15"/>
      <c r="B36" s="34" t="s">
        <v>649</v>
      </c>
      <c r="C36" s="47"/>
      <c r="D36" s="47"/>
      <c r="E36" s="47"/>
      <c r="F36" s="47"/>
      <c r="G36" s="47"/>
      <c r="H36" s="47"/>
      <c r="I36" s="47"/>
      <c r="J36" s="47"/>
    </row>
    <row r="37" spans="1:12" x14ac:dyDescent="0.45">
      <c r="B37" s="34" t="s">
        <v>650</v>
      </c>
      <c r="C37" s="47"/>
      <c r="D37" s="47"/>
      <c r="E37" s="47"/>
      <c r="F37" s="47"/>
      <c r="G37" s="47"/>
      <c r="H37" s="47"/>
      <c r="I37" s="47"/>
      <c r="J37" s="47"/>
    </row>
    <row r="38" spans="1:12" x14ac:dyDescent="0.45">
      <c r="B38" s="32"/>
      <c r="C38" s="47"/>
      <c r="D38" s="47"/>
      <c r="E38" s="47"/>
      <c r="F38" s="47"/>
      <c r="G38" s="47"/>
      <c r="H38" s="47"/>
      <c r="I38" s="47"/>
      <c r="J38" s="47"/>
    </row>
    <row r="39" spans="1:12" x14ac:dyDescent="0.45">
      <c r="B39" s="28" t="s">
        <v>651</v>
      </c>
      <c r="C39" s="47"/>
      <c r="D39" s="47"/>
      <c r="E39" s="47"/>
      <c r="F39" s="47"/>
      <c r="G39" s="47"/>
      <c r="H39" s="47"/>
      <c r="I39" s="47"/>
      <c r="J39" s="47"/>
    </row>
    <row r="40" spans="1:12" x14ac:dyDescent="0.45">
      <c r="B40" s="34" t="s">
        <v>652</v>
      </c>
      <c r="C40" s="47"/>
      <c r="D40" s="47"/>
      <c r="E40" s="47"/>
      <c r="F40" s="47"/>
      <c r="G40" s="47"/>
      <c r="H40" s="47"/>
      <c r="I40" s="47"/>
      <c r="J40" s="47"/>
    </row>
    <row r="41" spans="1:12" x14ac:dyDescent="0.45">
      <c r="B41" s="34" t="s">
        <v>653</v>
      </c>
      <c r="C41" s="47"/>
      <c r="D41" s="47"/>
      <c r="E41" s="47"/>
      <c r="F41" s="47"/>
      <c r="G41" s="47"/>
      <c r="H41" s="47"/>
      <c r="I41" s="47"/>
      <c r="J41" s="47"/>
    </row>
    <row r="42" spans="1:12" x14ac:dyDescent="0.45">
      <c r="B42" s="34" t="s">
        <v>654</v>
      </c>
      <c r="C42" s="47"/>
      <c r="D42" s="47"/>
      <c r="E42" s="47"/>
      <c r="F42" s="47"/>
      <c r="G42" s="47"/>
      <c r="H42" s="47"/>
      <c r="I42" s="47"/>
      <c r="J42" s="47"/>
    </row>
    <row r="43" spans="1:12" x14ac:dyDescent="0.45">
      <c r="B43" s="32"/>
      <c r="C43" s="47"/>
      <c r="D43" s="47"/>
      <c r="E43" s="47"/>
      <c r="F43" s="47"/>
      <c r="G43" s="47"/>
      <c r="H43" s="47"/>
      <c r="I43" s="47"/>
      <c r="J43" s="47"/>
    </row>
    <row r="44" spans="1:12" x14ac:dyDescent="0.45">
      <c r="B44" s="28" t="s">
        <v>655</v>
      </c>
      <c r="C44" s="47"/>
      <c r="D44" s="47"/>
      <c r="E44" s="47"/>
      <c r="F44" s="47"/>
      <c r="G44" s="47"/>
      <c r="H44" s="47"/>
      <c r="I44" s="47"/>
      <c r="J44" s="47"/>
    </row>
    <row r="45" spans="1:12" x14ac:dyDescent="0.45">
      <c r="B45" s="34" t="s">
        <v>656</v>
      </c>
      <c r="C45" s="47"/>
      <c r="D45" s="47"/>
      <c r="E45" s="47"/>
      <c r="F45" s="47"/>
      <c r="G45" s="47"/>
      <c r="H45" s="47"/>
      <c r="I45" s="47"/>
      <c r="J45" s="47"/>
    </row>
    <row r="46" spans="1:12" x14ac:dyDescent="0.45">
      <c r="A46" s="16"/>
      <c r="B46" s="34" t="s">
        <v>657</v>
      </c>
      <c r="C46" s="18"/>
      <c r="D46" s="18"/>
      <c r="E46" s="18"/>
      <c r="F46" s="18"/>
      <c r="G46" s="18"/>
      <c r="H46" s="18"/>
      <c r="I46" s="18"/>
      <c r="J46" s="18"/>
    </row>
    <row r="47" spans="1:12" s="16" customFormat="1" x14ac:dyDescent="0.45">
      <c r="A47" s="15"/>
      <c r="B47" s="34" t="s">
        <v>658</v>
      </c>
      <c r="C47" s="47"/>
      <c r="D47" s="47"/>
      <c r="E47" s="47"/>
      <c r="F47" s="47"/>
      <c r="G47" s="47"/>
      <c r="H47" s="47"/>
      <c r="I47" s="47"/>
      <c r="J47" s="47"/>
    </row>
    <row r="48" spans="1:12" x14ac:dyDescent="0.45">
      <c r="B48" s="34" t="s">
        <v>659</v>
      </c>
      <c r="C48" s="47"/>
      <c r="D48" s="47"/>
      <c r="E48" s="47"/>
      <c r="F48" s="47"/>
      <c r="G48" s="47"/>
      <c r="H48" s="47"/>
      <c r="I48" s="47"/>
      <c r="J48" s="47"/>
    </row>
    <row r="49" spans="1:10" x14ac:dyDescent="0.45">
      <c r="B49" s="34" t="s">
        <v>660</v>
      </c>
      <c r="C49" s="47"/>
      <c r="D49" s="47"/>
      <c r="E49" s="47"/>
      <c r="F49" s="47"/>
      <c r="G49" s="47"/>
      <c r="H49" s="47"/>
      <c r="I49" s="47"/>
      <c r="J49" s="47"/>
    </row>
    <row r="50" spans="1:10" x14ac:dyDescent="0.45">
      <c r="B50" s="34" t="s">
        <v>661</v>
      </c>
      <c r="C50" s="47"/>
      <c r="D50" s="47"/>
      <c r="E50" s="47"/>
      <c r="F50" s="47"/>
      <c r="G50" s="47"/>
      <c r="H50" s="47"/>
      <c r="I50" s="47"/>
      <c r="J50" s="47"/>
    </row>
    <row r="51" spans="1:10" x14ac:dyDescent="0.45">
      <c r="B51" s="32"/>
      <c r="C51" s="47"/>
      <c r="D51" s="47"/>
      <c r="E51" s="47"/>
      <c r="F51" s="47"/>
      <c r="G51" s="47"/>
      <c r="H51" s="47"/>
      <c r="I51" s="47"/>
      <c r="J51" s="47"/>
    </row>
    <row r="52" spans="1:10" x14ac:dyDescent="0.45">
      <c r="B52" s="28" t="s">
        <v>662</v>
      </c>
      <c r="C52" s="47"/>
      <c r="D52" s="47"/>
      <c r="E52" s="47"/>
      <c r="F52" s="47"/>
      <c r="G52" s="47"/>
      <c r="H52" s="47"/>
      <c r="I52" s="47"/>
      <c r="J52" s="47"/>
    </row>
    <row r="53" spans="1:10" x14ac:dyDescent="0.45">
      <c r="B53" s="34" t="s">
        <v>663</v>
      </c>
      <c r="C53" s="47"/>
      <c r="D53" s="47"/>
      <c r="E53" s="47"/>
      <c r="F53" s="47"/>
      <c r="G53" s="47"/>
      <c r="H53" s="47"/>
      <c r="I53" s="47"/>
      <c r="J53" s="47"/>
    </row>
    <row r="54" spans="1:10" x14ac:dyDescent="0.45">
      <c r="A54" s="16"/>
      <c r="B54" s="47" t="s">
        <v>664</v>
      </c>
      <c r="C54" s="18"/>
      <c r="D54" s="18"/>
      <c r="E54" s="18"/>
      <c r="F54" s="18"/>
      <c r="G54" s="18"/>
      <c r="H54" s="18"/>
      <c r="I54" s="18"/>
      <c r="J54" s="18"/>
    </row>
    <row r="55" spans="1:10" s="16" customFormat="1" x14ac:dyDescent="0.45">
      <c r="A55" s="15"/>
      <c r="B55" s="47" t="s">
        <v>665</v>
      </c>
      <c r="C55" s="47"/>
      <c r="D55" s="47"/>
      <c r="E55" s="47"/>
      <c r="F55" s="47"/>
      <c r="G55" s="47"/>
      <c r="H55" s="47"/>
      <c r="I55" s="47"/>
      <c r="J55" s="47"/>
    </row>
    <row r="56" spans="1:10" x14ac:dyDescent="0.45">
      <c r="B56" s="47" t="s">
        <v>666</v>
      </c>
      <c r="C56" s="47"/>
      <c r="D56" s="47"/>
      <c r="E56" s="47"/>
      <c r="F56" s="47"/>
      <c r="G56" s="47"/>
      <c r="H56" s="47"/>
      <c r="I56" s="47"/>
      <c r="J56" s="47"/>
    </row>
    <row r="57" spans="1:10" x14ac:dyDescent="0.45">
      <c r="B57" s="47" t="s">
        <v>667</v>
      </c>
      <c r="C57" s="47"/>
      <c r="D57" s="47"/>
      <c r="E57" s="47"/>
      <c r="F57" s="47"/>
      <c r="G57" s="47"/>
      <c r="H57" s="47"/>
      <c r="I57" s="47"/>
      <c r="J57" s="47"/>
    </row>
    <row r="58" spans="1:10" x14ac:dyDescent="0.45">
      <c r="B58" s="47" t="s">
        <v>668</v>
      </c>
      <c r="C58" s="47"/>
      <c r="D58" s="47"/>
      <c r="E58" s="47"/>
      <c r="F58" s="47"/>
      <c r="G58" s="47"/>
      <c r="H58" s="47"/>
      <c r="I58" s="47"/>
      <c r="J58" s="47"/>
    </row>
    <row r="59" spans="1:10" x14ac:dyDescent="0.45">
      <c r="B59" s="47" t="s">
        <v>669</v>
      </c>
      <c r="C59" s="47"/>
      <c r="D59" s="47"/>
      <c r="E59" s="47"/>
      <c r="F59" s="47"/>
      <c r="G59" s="47"/>
      <c r="H59" s="47"/>
      <c r="I59" s="47"/>
      <c r="J59" s="47"/>
    </row>
    <row r="60" spans="1:10" x14ac:dyDescent="0.45">
      <c r="B60" s="34" t="s">
        <v>670</v>
      </c>
      <c r="C60" s="47"/>
      <c r="D60" s="47"/>
      <c r="E60" s="47"/>
      <c r="F60" s="47"/>
      <c r="G60" s="47"/>
      <c r="H60" s="47"/>
      <c r="I60" s="47"/>
      <c r="J60" s="47"/>
    </row>
    <row r="61" spans="1:10" x14ac:dyDescent="0.45">
      <c r="B61" s="34" t="s">
        <v>671</v>
      </c>
      <c r="C61" s="47"/>
      <c r="D61" s="47"/>
      <c r="E61" s="47"/>
      <c r="F61" s="47"/>
      <c r="G61" s="47"/>
      <c r="H61" s="47"/>
      <c r="I61" s="47"/>
      <c r="J61" s="47"/>
    </row>
    <row r="62" spans="1:10" x14ac:dyDescent="0.45">
      <c r="B62" s="34" t="s">
        <v>672</v>
      </c>
      <c r="C62" s="47"/>
      <c r="D62" s="47"/>
      <c r="E62" s="47"/>
      <c r="F62" s="47"/>
      <c r="G62" s="47"/>
      <c r="H62" s="47"/>
      <c r="I62" s="47"/>
      <c r="J62" s="47"/>
    </row>
    <row r="63" spans="1:10" x14ac:dyDescent="0.45">
      <c r="B63" s="34" t="s">
        <v>673</v>
      </c>
      <c r="C63" s="47"/>
      <c r="D63" s="47"/>
      <c r="E63" s="47"/>
      <c r="F63" s="47"/>
      <c r="G63" s="47"/>
      <c r="H63" s="47"/>
      <c r="I63" s="47"/>
      <c r="J63" s="47"/>
    </row>
    <row r="64" spans="1:10" x14ac:dyDescent="0.45">
      <c r="B64" s="34" t="s">
        <v>674</v>
      </c>
      <c r="C64" s="47"/>
      <c r="D64" s="47"/>
      <c r="E64" s="47"/>
      <c r="F64" s="47"/>
      <c r="G64" s="47"/>
      <c r="H64" s="47"/>
      <c r="I64" s="47"/>
      <c r="J64" s="47"/>
    </row>
    <row r="65" spans="1:11" x14ac:dyDescent="0.45">
      <c r="B65" s="32"/>
      <c r="C65" s="47"/>
      <c r="D65" s="47"/>
      <c r="E65" s="47"/>
      <c r="F65" s="47"/>
      <c r="G65" s="47"/>
      <c r="H65" s="47"/>
      <c r="I65" s="47"/>
      <c r="J65" s="47"/>
    </row>
    <row r="66" spans="1:11" x14ac:dyDescent="0.45">
      <c r="B66" s="28" t="s">
        <v>675</v>
      </c>
      <c r="C66" s="47"/>
      <c r="D66" s="47"/>
      <c r="E66" s="47"/>
      <c r="F66" s="47"/>
      <c r="G66" s="47"/>
      <c r="H66" s="47"/>
      <c r="I66" s="47"/>
      <c r="J66" s="47"/>
    </row>
    <row r="67" spans="1:11" x14ac:dyDescent="0.45">
      <c r="B67" s="34" t="s">
        <v>676</v>
      </c>
      <c r="C67" s="47"/>
      <c r="D67" s="47"/>
      <c r="E67" s="47"/>
      <c r="F67" s="47"/>
      <c r="G67" s="47"/>
      <c r="H67" s="47"/>
      <c r="I67" s="47"/>
      <c r="J67" s="47"/>
    </row>
    <row r="68" spans="1:11" x14ac:dyDescent="0.45">
      <c r="A68" s="16"/>
      <c r="B68" s="32"/>
      <c r="C68" s="18"/>
      <c r="D68" s="18"/>
      <c r="E68" s="18"/>
      <c r="F68" s="18"/>
      <c r="G68" s="18"/>
      <c r="H68" s="18"/>
      <c r="I68" s="18"/>
      <c r="J68" s="18"/>
    </row>
    <row r="69" spans="1:11" s="16" customFormat="1" x14ac:dyDescent="0.45">
      <c r="A69" s="15"/>
      <c r="B69" s="28" t="s">
        <v>677</v>
      </c>
      <c r="C69" s="47"/>
      <c r="D69" s="47"/>
      <c r="E69" s="47"/>
      <c r="F69" s="47"/>
      <c r="G69" s="47"/>
      <c r="H69" s="47"/>
      <c r="I69" s="47"/>
      <c r="J69" s="47"/>
    </row>
    <row r="70" spans="1:11" x14ac:dyDescent="0.45">
      <c r="B70" s="34" t="s">
        <v>678</v>
      </c>
      <c r="C70" s="47"/>
      <c r="D70" s="47"/>
      <c r="E70" s="47"/>
      <c r="F70" s="47"/>
      <c r="G70" s="47"/>
      <c r="H70" s="47"/>
      <c r="I70" s="47"/>
      <c r="J70" s="47"/>
    </row>
    <row r="71" spans="1:11" x14ac:dyDescent="0.45">
      <c r="B71" s="34" t="s">
        <v>679</v>
      </c>
      <c r="C71" s="47"/>
      <c r="D71" s="47"/>
      <c r="E71" s="47"/>
      <c r="F71" s="47"/>
      <c r="G71" s="47"/>
      <c r="H71" s="47"/>
      <c r="I71" s="47"/>
      <c r="J71" s="47"/>
      <c r="K71" s="58"/>
    </row>
    <row r="72" spans="1:11" x14ac:dyDescent="0.45">
      <c r="B72" s="32"/>
      <c r="C72" s="47"/>
      <c r="D72" s="47"/>
      <c r="E72" s="47"/>
      <c r="F72" s="47"/>
      <c r="G72" s="47"/>
      <c r="H72" s="47"/>
      <c r="I72" s="47"/>
      <c r="J72" s="47"/>
    </row>
    <row r="73" spans="1:11" x14ac:dyDescent="0.45">
      <c r="B73" s="28" t="s">
        <v>680</v>
      </c>
      <c r="C73" s="47"/>
      <c r="D73" s="47"/>
      <c r="E73" s="47"/>
      <c r="F73" s="47"/>
      <c r="G73" s="47"/>
      <c r="H73" s="47"/>
      <c r="I73" s="47"/>
      <c r="J73" s="47"/>
    </row>
    <row r="74" spans="1:11" x14ac:dyDescent="0.45">
      <c r="B74" s="34" t="s">
        <v>681</v>
      </c>
      <c r="C74" s="47"/>
      <c r="D74" s="47"/>
      <c r="E74" s="47"/>
      <c r="F74" s="47"/>
      <c r="G74" s="47"/>
      <c r="H74" s="47"/>
      <c r="I74" s="47"/>
      <c r="J74" s="47"/>
    </row>
    <row r="75" spans="1:11" x14ac:dyDescent="0.45">
      <c r="B75" s="34" t="s">
        <v>682</v>
      </c>
      <c r="C75" s="47"/>
      <c r="D75" s="47"/>
      <c r="E75" s="47"/>
      <c r="F75" s="47"/>
      <c r="G75" s="47"/>
      <c r="H75" s="47"/>
      <c r="I75" s="47"/>
      <c r="J75" s="47"/>
    </row>
    <row r="76" spans="1:11" x14ac:dyDescent="0.45">
      <c r="B76" s="34" t="s">
        <v>683</v>
      </c>
      <c r="C76" s="47"/>
      <c r="D76" s="47"/>
      <c r="E76" s="47"/>
      <c r="F76" s="47"/>
      <c r="G76" s="47"/>
      <c r="H76" s="47"/>
      <c r="I76" s="47"/>
      <c r="J76" s="47"/>
    </row>
    <row r="77" spans="1:11" x14ac:dyDescent="0.45">
      <c r="B77" s="34" t="s">
        <v>684</v>
      </c>
      <c r="C77" s="47"/>
      <c r="D77" s="47"/>
      <c r="E77" s="47"/>
      <c r="F77" s="47"/>
      <c r="G77" s="47"/>
      <c r="H77" s="47"/>
      <c r="I77" s="47"/>
      <c r="J77" s="47"/>
    </row>
    <row r="78" spans="1:11" x14ac:dyDescent="0.45">
      <c r="B78" s="34" t="s">
        <v>685</v>
      </c>
      <c r="C78" s="47"/>
      <c r="D78" s="47"/>
      <c r="E78" s="47"/>
      <c r="F78" s="47"/>
      <c r="G78" s="47"/>
      <c r="H78" s="47"/>
      <c r="I78" s="47"/>
      <c r="J78" s="47"/>
    </row>
    <row r="79" spans="1:11" x14ac:dyDescent="0.45">
      <c r="B79" s="34"/>
      <c r="C79" s="47"/>
      <c r="D79" s="47"/>
      <c r="E79" s="47"/>
      <c r="F79" s="47"/>
      <c r="G79" s="47"/>
      <c r="H79" s="47"/>
      <c r="I79" s="47"/>
      <c r="J79" s="47"/>
    </row>
    <row r="80" spans="1:11" ht="17.75" customHeight="1" x14ac:dyDescent="0.45">
      <c r="B80" s="32"/>
      <c r="C80" s="32"/>
      <c r="D80" s="32"/>
      <c r="E80" s="32"/>
      <c r="F80" s="32"/>
      <c r="G80" s="32"/>
      <c r="H80" s="32"/>
      <c r="I80" s="32"/>
      <c r="J80" s="32"/>
    </row>
    <row r="81" spans="2:11" x14ac:dyDescent="0.45">
      <c r="B81" s="32"/>
      <c r="C81" s="32"/>
      <c r="D81" s="32"/>
      <c r="E81" s="32"/>
      <c r="F81" s="32"/>
      <c r="G81" s="32"/>
      <c r="H81" s="32"/>
      <c r="I81" s="32"/>
      <c r="J81" s="32"/>
    </row>
    <row r="82" spans="2:11" x14ac:dyDescent="0.45">
      <c r="C82" s="149">
        <v>46143</v>
      </c>
      <c r="D82" s="146"/>
      <c r="E82" s="146"/>
      <c r="F82" s="146"/>
      <c r="G82" s="146"/>
      <c r="H82" s="146"/>
      <c r="I82" s="139"/>
      <c r="J82" s="47"/>
    </row>
    <row r="83" spans="2:11" x14ac:dyDescent="0.45">
      <c r="B83" s="32"/>
      <c r="C83" s="47"/>
      <c r="D83" s="47"/>
      <c r="E83" s="47"/>
      <c r="F83" s="47"/>
      <c r="G83" s="47"/>
      <c r="H83" s="47"/>
      <c r="I83" s="47"/>
      <c r="J83" s="47"/>
    </row>
    <row r="84" spans="2:11" ht="17.75" customHeight="1" x14ac:dyDescent="0.45">
      <c r="B84" s="32"/>
      <c r="C84" s="47"/>
      <c r="D84" s="47"/>
      <c r="E84" s="47"/>
      <c r="F84" s="47"/>
      <c r="G84" s="47"/>
      <c r="H84" s="47"/>
      <c r="I84" s="47"/>
      <c r="J84" s="47"/>
    </row>
    <row r="85" spans="2:11" ht="17.75" customHeight="1" x14ac:dyDescent="0.45">
      <c r="B85" s="135" t="s">
        <v>686</v>
      </c>
      <c r="C85" s="135" t="s">
        <v>31</v>
      </c>
      <c r="D85" s="44" t="s">
        <v>32</v>
      </c>
      <c r="E85" s="44"/>
      <c r="F85" s="44"/>
      <c r="G85" s="44"/>
      <c r="H85" s="25"/>
      <c r="I85" s="25"/>
      <c r="J85" s="47"/>
    </row>
    <row r="86" spans="2:11" ht="17.75" customHeight="1" x14ac:dyDescent="0.45">
      <c r="B86" s="135"/>
      <c r="C86" s="135" t="s">
        <v>33</v>
      </c>
      <c r="D86" s="44" t="s">
        <v>34</v>
      </c>
      <c r="E86" s="44"/>
      <c r="F86" s="44"/>
      <c r="G86" s="44"/>
      <c r="H86" s="25"/>
      <c r="I86" s="25"/>
      <c r="J86" s="47"/>
    </row>
    <row r="87" spans="2:11" ht="17.75" customHeight="1" x14ac:dyDescent="0.45">
      <c r="B87" s="135"/>
      <c r="C87" s="135" t="s">
        <v>35</v>
      </c>
      <c r="D87" s="44" t="s">
        <v>36</v>
      </c>
      <c r="E87" s="44"/>
      <c r="F87" s="44"/>
      <c r="G87" s="44"/>
      <c r="H87" s="135" t="s">
        <v>37</v>
      </c>
      <c r="I87" s="15"/>
      <c r="J87" s="47"/>
    </row>
    <row r="88" spans="2:11" ht="17.75" customHeight="1" x14ac:dyDescent="0.45">
      <c r="B88" s="135"/>
      <c r="C88" s="135"/>
      <c r="D88" s="135"/>
      <c r="E88" s="135"/>
      <c r="F88" s="135"/>
      <c r="G88" s="135"/>
      <c r="H88" s="135"/>
      <c r="I88" s="135"/>
      <c r="J88" s="47"/>
    </row>
    <row r="89" spans="2:11" ht="17.75" customHeight="1" x14ac:dyDescent="0.45">
      <c r="B89" s="135"/>
      <c r="C89" s="135"/>
      <c r="D89" s="135"/>
      <c r="E89" s="135"/>
      <c r="F89" s="135"/>
      <c r="G89" s="135"/>
      <c r="H89" s="135"/>
      <c r="I89" s="135"/>
      <c r="J89" s="47"/>
    </row>
    <row r="90" spans="2:11" ht="17.75" customHeight="1" x14ac:dyDescent="0.45">
      <c r="B90" s="135" t="s">
        <v>687</v>
      </c>
      <c r="C90" s="135" t="s">
        <v>31</v>
      </c>
      <c r="D90" s="44" t="s">
        <v>39</v>
      </c>
      <c r="E90" s="44"/>
      <c r="F90" s="44"/>
      <c r="G90" s="44"/>
      <c r="H90" s="6"/>
      <c r="I90" s="6"/>
      <c r="J90" s="47"/>
    </row>
    <row r="91" spans="2:11" ht="17.75" customHeight="1" x14ac:dyDescent="0.45">
      <c r="B91" s="135"/>
      <c r="C91" s="135" t="s">
        <v>33</v>
      </c>
      <c r="D91" s="44" t="s">
        <v>15</v>
      </c>
      <c r="E91" s="44"/>
      <c r="F91" s="44"/>
      <c r="G91" s="44"/>
      <c r="H91" s="6"/>
      <c r="I91" s="6"/>
      <c r="J91" s="47"/>
      <c r="K91" s="114" t="s">
        <v>19</v>
      </c>
    </row>
    <row r="92" spans="2:11" ht="17.75" customHeight="1" x14ac:dyDescent="0.45">
      <c r="B92" s="2"/>
      <c r="C92" s="2" t="s">
        <v>35</v>
      </c>
      <c r="D92" s="44" t="s">
        <v>14</v>
      </c>
      <c r="E92" s="3"/>
      <c r="F92" s="3"/>
      <c r="G92" s="3"/>
      <c r="H92" s="2" t="s">
        <v>37</v>
      </c>
      <c r="I92" s="1"/>
      <c r="J92" s="32"/>
      <c r="K92" s="114" t="s">
        <v>19</v>
      </c>
    </row>
    <row r="93" spans="2:11" ht="17.75" customHeight="1" x14ac:dyDescent="0.45">
      <c r="B93" s="2"/>
      <c r="C93" s="2"/>
      <c r="D93" s="2"/>
      <c r="E93" s="2"/>
      <c r="F93" s="24"/>
      <c r="G93" s="24"/>
      <c r="H93" s="24"/>
      <c r="I93" s="24"/>
      <c r="K93" s="114" t="s">
        <v>19</v>
      </c>
    </row>
  </sheetData>
  <mergeCells count="6">
    <mergeCell ref="C82:H82"/>
    <mergeCell ref="B11:J11"/>
    <mergeCell ref="B3:J3"/>
    <mergeCell ref="A8:J8"/>
    <mergeCell ref="A6:J6"/>
    <mergeCell ref="A7:J7"/>
  </mergeCells>
  <phoneticPr fontId="4" type="noConversion"/>
  <hyperlinks>
    <hyperlink ref="K3" r:id="rId1" xr:uid="{00000000-0004-0000-0700-000000000000}"/>
  </hyperlinks>
  <pageMargins left="0.7" right="0.7" top="0.75" bottom="0.75" header="0.3" footer="0.3"/>
  <pageSetup paperSize="9" scale="75" fitToHeight="0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M113"/>
  <sheetViews>
    <sheetView showGridLines="0" tabSelected="1" view="pageBreakPreview" topLeftCell="A82" zoomScale="85" zoomScaleNormal="100" zoomScaleSheetLayoutView="85" workbookViewId="0">
      <selection activeCell="B40" sqref="B40:J40"/>
    </sheetView>
  </sheetViews>
  <sheetFormatPr defaultColWidth="9" defaultRowHeight="17" x14ac:dyDescent="0.45"/>
  <cols>
    <col min="1" max="1" width="2.6640625" style="15" customWidth="1"/>
    <col min="2" max="8" width="12.4140625" style="15" customWidth="1"/>
    <col min="9" max="9" width="12.4140625" style="16" customWidth="1"/>
    <col min="10" max="10" width="12.4140625" style="15" customWidth="1"/>
    <col min="11" max="11" width="2.6640625" style="15" customWidth="1"/>
    <col min="12" max="12" width="9" style="15" customWidth="1"/>
    <col min="13" max="16384" width="9" style="15"/>
  </cols>
  <sheetData>
    <row r="1" spans="2:12" x14ac:dyDescent="0.45">
      <c r="B1" s="25"/>
      <c r="C1" s="25"/>
      <c r="D1" s="25"/>
      <c r="E1" s="25"/>
      <c r="F1" s="25"/>
      <c r="G1" s="25"/>
      <c r="H1" s="25"/>
      <c r="I1" s="25"/>
      <c r="J1" s="25"/>
    </row>
    <row r="2" spans="2:12" x14ac:dyDescent="0.45">
      <c r="B2" s="25"/>
      <c r="C2" s="25"/>
      <c r="D2" s="25"/>
      <c r="E2" s="25"/>
      <c r="F2" s="25"/>
      <c r="G2" s="25"/>
      <c r="H2" s="25"/>
      <c r="I2" s="25"/>
      <c r="J2" s="25"/>
    </row>
    <row r="3" spans="2:12" ht="20.399999999999999" customHeight="1" x14ac:dyDescent="0.45">
      <c r="B3" s="199" t="s">
        <v>688</v>
      </c>
      <c r="C3" s="146"/>
      <c r="D3" s="146"/>
      <c r="E3" s="146"/>
      <c r="F3" s="146"/>
      <c r="G3" s="146"/>
      <c r="H3" s="146"/>
      <c r="I3" s="147"/>
      <c r="J3" s="146"/>
    </row>
    <row r="4" spans="2:12" x14ac:dyDescent="0.45">
      <c r="B4" s="25"/>
      <c r="C4" s="25"/>
      <c r="D4" s="25"/>
      <c r="E4" s="25"/>
      <c r="F4" s="25"/>
      <c r="G4" s="25"/>
      <c r="H4" s="25"/>
      <c r="I4" s="25"/>
      <c r="J4" s="25"/>
    </row>
    <row r="5" spans="2:12" x14ac:dyDescent="0.45">
      <c r="B5" s="44"/>
      <c r="C5" s="44"/>
      <c r="D5" s="44"/>
      <c r="E5" s="44"/>
      <c r="F5" s="44"/>
      <c r="G5" s="44"/>
      <c r="H5" s="44"/>
      <c r="I5" s="44"/>
      <c r="J5" s="44"/>
    </row>
    <row r="6" spans="2:12" x14ac:dyDescent="0.45">
      <c r="B6" s="148" t="e">
        <f>"(주)일룸(이하 '갑'이라 함)과 "&amp;#REF!&amp;" (일룸 "&amp;#REF!&amp;") (이하 '을'이라 함)은"</f>
        <v>#REF!</v>
      </c>
      <c r="C6" s="146"/>
      <c r="D6" s="146"/>
      <c r="E6" s="146"/>
      <c r="F6" s="146"/>
      <c r="G6" s="146"/>
      <c r="H6" s="146"/>
      <c r="I6" s="147"/>
      <c r="J6" s="146"/>
      <c r="L6" s="15" t="s">
        <v>19</v>
      </c>
    </row>
    <row r="7" spans="2:12" x14ac:dyDescent="0.45">
      <c r="B7" s="218" t="s">
        <v>689</v>
      </c>
      <c r="C7" s="146"/>
      <c r="D7" s="146"/>
      <c r="E7" s="146"/>
      <c r="F7" s="146"/>
      <c r="G7" s="146"/>
      <c r="H7" s="146"/>
      <c r="I7" s="147"/>
      <c r="J7" s="146"/>
    </row>
    <row r="8" spans="2:12" x14ac:dyDescent="0.45">
      <c r="B8" s="218" t="s">
        <v>690</v>
      </c>
      <c r="C8" s="146"/>
      <c r="D8" s="146"/>
      <c r="E8" s="146"/>
      <c r="F8" s="146"/>
      <c r="G8" s="146"/>
      <c r="H8" s="146"/>
      <c r="I8" s="147"/>
      <c r="J8" s="146"/>
    </row>
    <row r="9" spans="2:12" x14ac:dyDescent="0.45">
      <c r="B9" s="218" t="s">
        <v>691</v>
      </c>
      <c r="C9" s="146"/>
      <c r="D9" s="146"/>
      <c r="E9" s="146"/>
      <c r="F9" s="146"/>
      <c r="G9" s="146"/>
      <c r="H9" s="146"/>
      <c r="I9" s="147"/>
      <c r="J9" s="146"/>
    </row>
    <row r="10" spans="2:12" x14ac:dyDescent="0.45">
      <c r="B10" s="25"/>
      <c r="C10" s="25"/>
      <c r="D10" s="25"/>
      <c r="E10" s="25"/>
      <c r="F10" s="25"/>
      <c r="G10" s="25"/>
      <c r="H10" s="25"/>
      <c r="I10" s="25"/>
      <c r="J10" s="25"/>
    </row>
    <row r="11" spans="2:12" x14ac:dyDescent="0.45">
      <c r="B11" s="218" t="s">
        <v>452</v>
      </c>
      <c r="C11" s="146"/>
      <c r="D11" s="146"/>
      <c r="E11" s="146"/>
      <c r="F11" s="146"/>
      <c r="G11" s="146"/>
      <c r="H11" s="146"/>
      <c r="I11" s="147"/>
      <c r="J11" s="146"/>
    </row>
    <row r="12" spans="2:12" x14ac:dyDescent="0.45">
      <c r="B12" s="135"/>
      <c r="C12" s="135"/>
      <c r="D12" s="135"/>
      <c r="E12" s="135"/>
      <c r="F12" s="135"/>
      <c r="G12" s="135"/>
      <c r="H12" s="135"/>
      <c r="I12" s="135"/>
      <c r="J12" s="135"/>
    </row>
    <row r="13" spans="2:12" x14ac:dyDescent="0.45">
      <c r="B13" s="135"/>
      <c r="C13" s="135"/>
      <c r="D13" s="135"/>
      <c r="E13" s="135"/>
      <c r="F13" s="135"/>
      <c r="G13" s="135"/>
      <c r="H13" s="135"/>
      <c r="I13" s="135"/>
      <c r="J13" s="135"/>
    </row>
    <row r="14" spans="2:12" x14ac:dyDescent="0.45">
      <c r="B14" s="28" t="s">
        <v>40</v>
      </c>
      <c r="C14" s="28"/>
      <c r="D14" s="28"/>
      <c r="E14" s="28"/>
      <c r="F14" s="28"/>
      <c r="G14" s="28"/>
      <c r="H14" s="28"/>
      <c r="I14" s="28"/>
      <c r="J14" s="28"/>
    </row>
    <row r="15" spans="2:12" x14ac:dyDescent="0.45">
      <c r="B15" s="26" t="s">
        <v>692</v>
      </c>
      <c r="C15" s="32"/>
      <c r="D15" s="32"/>
      <c r="E15" s="32"/>
      <c r="F15" s="32"/>
      <c r="G15" s="32"/>
      <c r="H15" s="32"/>
      <c r="I15" s="32"/>
      <c r="J15" s="32"/>
    </row>
    <row r="16" spans="2:12" x14ac:dyDescent="0.45">
      <c r="B16" s="34" t="s">
        <v>693</v>
      </c>
      <c r="C16" s="32"/>
      <c r="D16" s="32"/>
      <c r="E16" s="32"/>
      <c r="F16" s="32"/>
      <c r="G16" s="32"/>
      <c r="H16" s="32"/>
      <c r="I16" s="32"/>
      <c r="J16" s="32"/>
    </row>
    <row r="17" spans="2:13" x14ac:dyDescent="0.45">
      <c r="B17" s="28"/>
      <c r="C17" s="32"/>
      <c r="D17" s="32"/>
      <c r="E17" s="32"/>
      <c r="F17" s="32"/>
      <c r="G17" s="32"/>
      <c r="H17" s="32"/>
      <c r="I17" s="32"/>
      <c r="J17" s="32"/>
    </row>
    <row r="18" spans="2:13" x14ac:dyDescent="0.45">
      <c r="B18" s="28" t="s">
        <v>694</v>
      </c>
      <c r="C18" s="32"/>
      <c r="D18" s="32"/>
      <c r="E18" s="32"/>
      <c r="F18" s="32"/>
      <c r="G18" s="32"/>
      <c r="H18" s="32"/>
      <c r="I18" s="32"/>
      <c r="J18" s="32"/>
    </row>
    <row r="19" spans="2:13" x14ac:dyDescent="0.45">
      <c r="B19" s="34" t="s">
        <v>695</v>
      </c>
      <c r="C19" s="32"/>
      <c r="D19" s="32"/>
      <c r="E19" s="32"/>
      <c r="F19" s="32"/>
      <c r="G19" s="32"/>
      <c r="H19" s="32"/>
      <c r="I19" s="32"/>
      <c r="J19" s="32"/>
    </row>
    <row r="20" spans="2:13" x14ac:dyDescent="0.45">
      <c r="B20" s="34"/>
      <c r="C20" s="32"/>
      <c r="D20" s="32"/>
      <c r="E20" s="32"/>
      <c r="F20" s="32"/>
      <c r="G20" s="32"/>
      <c r="H20" s="32"/>
      <c r="I20" s="32"/>
      <c r="J20" s="32"/>
    </row>
    <row r="21" spans="2:13" x14ac:dyDescent="0.45">
      <c r="B21" s="28" t="s">
        <v>696</v>
      </c>
      <c r="C21" s="32"/>
      <c r="D21" s="32"/>
      <c r="E21" s="32"/>
      <c r="F21" s="32"/>
      <c r="G21" s="32"/>
      <c r="H21" s="32"/>
      <c r="I21" s="32"/>
      <c r="J21" s="32"/>
    </row>
    <row r="22" spans="2:13" x14ac:dyDescent="0.45">
      <c r="B22" s="34" t="e">
        <f>"1) 본 계약에 따라 을에게 부여되는 권리는 "&amp;#REF!&amp;"까지 존속한다."</f>
        <v>#REF!</v>
      </c>
      <c r="C22" s="32"/>
      <c r="D22" s="32"/>
      <c r="E22" s="32"/>
      <c r="F22" s="32"/>
      <c r="G22" s="32"/>
      <c r="H22" s="32"/>
      <c r="I22" s="32"/>
      <c r="J22" s="32"/>
      <c r="L22" s="15" t="s">
        <v>19</v>
      </c>
    </row>
    <row r="23" spans="2:13" x14ac:dyDescent="0.45">
      <c r="B23" s="34" t="s">
        <v>697</v>
      </c>
      <c r="C23" s="32"/>
      <c r="D23" s="32"/>
      <c r="E23" s="32"/>
      <c r="F23" s="32"/>
      <c r="G23" s="32"/>
      <c r="H23" s="32"/>
      <c r="I23" s="32"/>
      <c r="J23" s="32"/>
    </row>
    <row r="24" spans="2:13" x14ac:dyDescent="0.45">
      <c r="B24" s="34" t="s">
        <v>698</v>
      </c>
      <c r="C24" s="32"/>
      <c r="D24" s="32"/>
      <c r="E24" s="32"/>
      <c r="F24" s="32"/>
      <c r="G24" s="32"/>
      <c r="H24" s="32"/>
      <c r="I24" s="32"/>
      <c r="J24" s="32"/>
    </row>
    <row r="25" spans="2:13" x14ac:dyDescent="0.45">
      <c r="B25" s="34"/>
      <c r="C25" s="32"/>
      <c r="D25" s="32"/>
      <c r="E25" s="32"/>
      <c r="F25" s="32"/>
      <c r="G25" s="32"/>
      <c r="H25" s="32"/>
      <c r="I25" s="32"/>
      <c r="J25" s="32"/>
    </row>
    <row r="26" spans="2:13" x14ac:dyDescent="0.45">
      <c r="B26" s="28" t="s">
        <v>699</v>
      </c>
      <c r="C26" s="32"/>
      <c r="D26" s="32"/>
      <c r="E26" s="32"/>
      <c r="F26" s="32"/>
      <c r="G26" s="32"/>
      <c r="H26" s="32"/>
      <c r="I26" s="32"/>
      <c r="J26" s="32"/>
    </row>
    <row r="27" spans="2:13" x14ac:dyDescent="0.45">
      <c r="B27" s="34" t="s">
        <v>700</v>
      </c>
      <c r="C27" s="32"/>
      <c r="D27" s="32"/>
      <c r="E27" s="32"/>
      <c r="F27" s="32"/>
      <c r="G27" s="32"/>
      <c r="H27" s="32"/>
      <c r="I27" s="32"/>
      <c r="J27" s="32"/>
    </row>
    <row r="28" spans="2:13" x14ac:dyDescent="0.45">
      <c r="B28" s="34" t="s">
        <v>701</v>
      </c>
      <c r="C28" s="32"/>
      <c r="D28" s="32"/>
      <c r="E28" s="32"/>
      <c r="F28" s="32"/>
      <c r="G28" s="32"/>
      <c r="H28" s="32"/>
      <c r="I28" s="32"/>
      <c r="J28" s="32"/>
    </row>
    <row r="29" spans="2:13" x14ac:dyDescent="0.45">
      <c r="B29" s="34"/>
      <c r="C29" s="32"/>
      <c r="D29" s="32"/>
      <c r="E29" s="32"/>
      <c r="F29" s="32"/>
      <c r="G29" s="32"/>
      <c r="H29" s="32"/>
      <c r="I29" s="32"/>
      <c r="J29" s="32"/>
    </row>
    <row r="30" spans="2:13" x14ac:dyDescent="0.45">
      <c r="B30" s="28" t="s">
        <v>702</v>
      </c>
      <c r="C30" s="32"/>
      <c r="D30" s="32"/>
      <c r="E30" s="32"/>
      <c r="F30" s="32"/>
      <c r="G30" s="32"/>
      <c r="H30" s="32"/>
      <c r="I30" s="32"/>
      <c r="J30" s="32"/>
    </row>
    <row r="31" spans="2:13" x14ac:dyDescent="0.45">
      <c r="B31" s="34" t="s">
        <v>703</v>
      </c>
      <c r="C31" s="28"/>
      <c r="D31" s="28"/>
      <c r="E31" s="28"/>
      <c r="F31" s="28"/>
      <c r="G31" s="28"/>
      <c r="H31" s="28"/>
      <c r="I31" s="28"/>
      <c r="J31" s="28"/>
      <c r="L31" s="15" t="s">
        <v>704</v>
      </c>
    </row>
    <row r="32" spans="2:13" x14ac:dyDescent="0.45">
      <c r="B32" s="59" t="s">
        <v>705</v>
      </c>
      <c r="C32" s="32"/>
      <c r="D32" s="32"/>
      <c r="E32" s="32"/>
      <c r="F32" s="32"/>
      <c r="G32" s="32"/>
      <c r="H32" s="32"/>
      <c r="I32" s="32"/>
      <c r="J32" s="32"/>
      <c r="M32" s="15" t="s">
        <v>706</v>
      </c>
    </row>
    <row r="33" spans="2:12" x14ac:dyDescent="0.45">
      <c r="B33" s="59" t="s">
        <v>707</v>
      </c>
      <c r="C33" s="32"/>
      <c r="D33" s="32"/>
      <c r="E33" s="32"/>
      <c r="F33" s="32"/>
      <c r="G33" s="32"/>
      <c r="H33" s="32"/>
      <c r="I33" s="32"/>
      <c r="J33" s="32"/>
      <c r="L33" s="16" t="s">
        <v>708</v>
      </c>
    </row>
    <row r="34" spans="2:12" x14ac:dyDescent="0.45">
      <c r="B34" s="34" t="e">
        <f>" * 26년 영업지원제도에 의거, "&amp;#REF!&amp;" 사용분에 대해 50% 본사지원"</f>
        <v>#REF!</v>
      </c>
      <c r="C34" s="32"/>
      <c r="D34" s="32"/>
      <c r="E34" s="32"/>
      <c r="F34" s="32"/>
      <c r="G34" s="32"/>
      <c r="H34" s="32"/>
      <c r="I34" s="32"/>
      <c r="J34" s="32"/>
      <c r="L34" s="15" t="s">
        <v>19</v>
      </c>
    </row>
    <row r="35" spans="2:12" x14ac:dyDescent="0.45">
      <c r="B35" s="34" t="s">
        <v>709</v>
      </c>
      <c r="C35" s="32"/>
      <c r="D35" s="32"/>
      <c r="E35" s="32"/>
      <c r="F35" s="32"/>
      <c r="G35" s="32"/>
      <c r="H35" s="32"/>
      <c r="I35" s="32"/>
      <c r="J35" s="32"/>
    </row>
    <row r="36" spans="2:12" x14ac:dyDescent="0.45">
      <c r="B36" s="34" t="s">
        <v>710</v>
      </c>
      <c r="C36" s="47"/>
      <c r="D36" s="47"/>
      <c r="E36" s="47"/>
      <c r="F36" s="47"/>
      <c r="G36" s="47"/>
      <c r="H36" s="47"/>
      <c r="I36" s="47"/>
      <c r="J36" s="47"/>
    </row>
    <row r="37" spans="2:12" x14ac:dyDescent="0.45">
      <c r="B37" s="34" t="s">
        <v>711</v>
      </c>
      <c r="C37" s="32"/>
      <c r="D37" s="32"/>
      <c r="E37" s="32"/>
      <c r="F37" s="32"/>
      <c r="G37" s="32"/>
      <c r="H37" s="32"/>
      <c r="I37" s="32"/>
      <c r="J37" s="32"/>
    </row>
    <row r="38" spans="2:12" x14ac:dyDescent="0.45">
      <c r="B38" s="34" t="s">
        <v>712</v>
      </c>
      <c r="C38" s="47"/>
      <c r="D38" s="47"/>
      <c r="E38" s="47"/>
      <c r="F38" s="47"/>
      <c r="G38" s="47"/>
      <c r="H38" s="47"/>
      <c r="I38" s="47"/>
      <c r="J38" s="47"/>
    </row>
    <row r="39" spans="2:12" x14ac:dyDescent="0.45">
      <c r="B39" s="34" t="s">
        <v>713</v>
      </c>
      <c r="C39" s="47"/>
      <c r="D39" s="47"/>
      <c r="E39" s="47"/>
      <c r="F39" s="47"/>
      <c r="G39" s="47"/>
      <c r="H39" s="47"/>
      <c r="I39" s="47"/>
      <c r="J39" s="47"/>
    </row>
    <row r="40" spans="2:12" x14ac:dyDescent="0.45">
      <c r="B40" s="34" t="s">
        <v>714</v>
      </c>
      <c r="C40" s="32"/>
      <c r="D40" s="32"/>
      <c r="E40" s="32"/>
      <c r="F40" s="32"/>
      <c r="G40" s="32"/>
      <c r="H40" s="32"/>
      <c r="I40" s="32"/>
      <c r="J40" s="32"/>
    </row>
    <row r="41" spans="2:12" x14ac:dyDescent="0.45">
      <c r="B41" s="34" t="e">
        <f>" * 25년 영업지원제도에 의거, "&amp;#REF!&amp;" 사용분에 대해 50% 본사지원"</f>
        <v>#REF!</v>
      </c>
      <c r="C41" s="32"/>
      <c r="D41" s="32"/>
      <c r="E41" s="32"/>
      <c r="F41" s="32"/>
      <c r="G41" s="32"/>
      <c r="H41" s="32"/>
      <c r="I41" s="32"/>
      <c r="J41" s="32"/>
      <c r="L41" s="15" t="s">
        <v>19</v>
      </c>
    </row>
    <row r="42" spans="2:12" x14ac:dyDescent="0.45">
      <c r="B42" s="34" t="s">
        <v>715</v>
      </c>
      <c r="C42" s="32"/>
      <c r="D42" s="32"/>
      <c r="E42" s="32"/>
      <c r="F42" s="32"/>
      <c r="G42" s="32"/>
      <c r="H42" s="32"/>
      <c r="I42" s="32"/>
      <c r="J42" s="32"/>
    </row>
    <row r="43" spans="2:12" x14ac:dyDescent="0.45">
      <c r="B43" s="34" t="s">
        <v>716</v>
      </c>
      <c r="C43" s="47"/>
      <c r="D43" s="47"/>
      <c r="E43" s="47"/>
      <c r="F43" s="47"/>
      <c r="G43" s="47"/>
      <c r="H43" s="47"/>
      <c r="I43" s="47"/>
      <c r="J43" s="47"/>
    </row>
    <row r="44" spans="2:12" x14ac:dyDescent="0.45">
      <c r="B44" s="4"/>
      <c r="C44" s="32"/>
      <c r="D44" s="32"/>
      <c r="E44" s="32"/>
      <c r="F44" s="32"/>
      <c r="G44" s="32"/>
      <c r="H44" s="32"/>
      <c r="I44" s="32"/>
      <c r="J44" s="32"/>
    </row>
    <row r="45" spans="2:12" x14ac:dyDescent="0.45">
      <c r="B45" s="28" t="s">
        <v>717</v>
      </c>
      <c r="C45" s="47"/>
      <c r="D45" s="47"/>
      <c r="E45" s="47"/>
      <c r="F45" s="47"/>
      <c r="G45" s="47"/>
      <c r="H45" s="47"/>
      <c r="I45" s="47"/>
      <c r="J45" s="47"/>
    </row>
    <row r="46" spans="2:12" x14ac:dyDescent="0.45">
      <c r="B46" s="34" t="s">
        <v>718</v>
      </c>
      <c r="C46" s="32"/>
      <c r="D46" s="32"/>
      <c r="E46" s="32"/>
      <c r="F46" s="32"/>
      <c r="G46" s="32"/>
      <c r="H46" s="32"/>
      <c r="I46" s="32"/>
      <c r="J46" s="32"/>
    </row>
    <row r="47" spans="2:12" x14ac:dyDescent="0.45">
      <c r="B47" s="34" t="s">
        <v>719</v>
      </c>
      <c r="C47" s="47"/>
      <c r="D47" s="47"/>
      <c r="E47" s="47"/>
      <c r="F47" s="47"/>
      <c r="G47" s="47"/>
      <c r="H47" s="47"/>
      <c r="I47" s="47"/>
      <c r="J47" s="47"/>
    </row>
    <row r="48" spans="2:12" x14ac:dyDescent="0.45">
      <c r="B48" s="34" t="s">
        <v>720</v>
      </c>
      <c r="C48" s="47"/>
      <c r="D48" s="47"/>
      <c r="E48" s="47"/>
      <c r="F48" s="47"/>
      <c r="G48" s="47"/>
      <c r="H48" s="47"/>
      <c r="I48" s="47"/>
      <c r="J48" s="47"/>
    </row>
    <row r="49" spans="2:10" x14ac:dyDescent="0.45">
      <c r="B49" s="34"/>
      <c r="C49" s="47"/>
      <c r="D49" s="47"/>
      <c r="E49" s="47"/>
      <c r="F49" s="47"/>
      <c r="G49" s="47"/>
      <c r="H49" s="47"/>
      <c r="I49" s="47"/>
      <c r="J49" s="47"/>
    </row>
    <row r="50" spans="2:10" x14ac:dyDescent="0.45">
      <c r="B50" s="28" t="s">
        <v>721</v>
      </c>
      <c r="C50" s="47"/>
      <c r="D50" s="47"/>
      <c r="E50" s="47"/>
      <c r="F50" s="47"/>
      <c r="G50" s="47"/>
      <c r="H50" s="47"/>
      <c r="I50" s="47"/>
      <c r="J50" s="47"/>
    </row>
    <row r="51" spans="2:10" x14ac:dyDescent="0.45">
      <c r="B51" s="34" t="s">
        <v>722</v>
      </c>
      <c r="C51" s="32"/>
      <c r="D51" s="32"/>
      <c r="E51" s="32"/>
      <c r="F51" s="32"/>
      <c r="G51" s="32"/>
      <c r="H51" s="32"/>
      <c r="I51" s="32"/>
      <c r="J51" s="32"/>
    </row>
    <row r="52" spans="2:10" x14ac:dyDescent="0.45">
      <c r="B52" s="34" t="s">
        <v>723</v>
      </c>
      <c r="C52" s="47"/>
      <c r="D52" s="47"/>
      <c r="E52" s="47"/>
      <c r="F52" s="47"/>
      <c r="G52" s="47"/>
      <c r="H52" s="47"/>
      <c r="I52" s="47"/>
      <c r="J52" s="47"/>
    </row>
    <row r="53" spans="2:10" x14ac:dyDescent="0.45">
      <c r="B53" s="34" t="s">
        <v>724</v>
      </c>
      <c r="C53" s="32"/>
      <c r="D53" s="32"/>
      <c r="E53" s="32"/>
      <c r="F53" s="32"/>
      <c r="G53" s="32"/>
      <c r="H53" s="32"/>
      <c r="I53" s="32"/>
      <c r="J53" s="32"/>
    </row>
    <row r="54" spans="2:10" x14ac:dyDescent="0.45">
      <c r="B54" s="34" t="s">
        <v>725</v>
      </c>
      <c r="C54" s="47"/>
      <c r="D54" s="47"/>
      <c r="E54" s="47"/>
      <c r="F54" s="47"/>
      <c r="G54" s="47"/>
      <c r="H54" s="47"/>
      <c r="I54" s="47"/>
      <c r="J54" s="47"/>
    </row>
    <row r="55" spans="2:10" x14ac:dyDescent="0.45">
      <c r="B55" s="34"/>
      <c r="C55" s="47"/>
      <c r="D55" s="47"/>
      <c r="E55" s="47"/>
      <c r="F55" s="47"/>
      <c r="G55" s="47"/>
      <c r="H55" s="47"/>
      <c r="I55" s="47"/>
      <c r="J55" s="47"/>
    </row>
    <row r="56" spans="2:10" x14ac:dyDescent="0.45">
      <c r="B56" s="28" t="s">
        <v>726</v>
      </c>
      <c r="C56" s="47"/>
      <c r="D56" s="47"/>
      <c r="E56" s="47"/>
      <c r="F56" s="47"/>
      <c r="G56" s="47"/>
      <c r="H56" s="47"/>
      <c r="I56" s="47"/>
      <c r="J56" s="47"/>
    </row>
    <row r="57" spans="2:10" x14ac:dyDescent="0.45">
      <c r="B57" s="34" t="s">
        <v>727</v>
      </c>
      <c r="C57" s="47"/>
      <c r="D57" s="47"/>
      <c r="E57" s="47"/>
      <c r="F57" s="47"/>
      <c r="G57" s="47"/>
      <c r="H57" s="47"/>
      <c r="I57" s="47"/>
      <c r="J57" s="47"/>
    </row>
    <row r="58" spans="2:10" x14ac:dyDescent="0.45">
      <c r="B58" s="34" t="s">
        <v>728</v>
      </c>
      <c r="C58" s="47"/>
      <c r="D58" s="47"/>
      <c r="E58" s="47"/>
      <c r="F58" s="47"/>
      <c r="G58" s="47"/>
      <c r="H58" s="47"/>
      <c r="I58" s="47"/>
      <c r="J58" s="47"/>
    </row>
    <row r="59" spans="2:10" x14ac:dyDescent="0.45">
      <c r="B59" s="34" t="s">
        <v>729</v>
      </c>
      <c r="C59" s="47"/>
      <c r="D59" s="47"/>
      <c r="E59" s="47"/>
      <c r="F59" s="47"/>
      <c r="G59" s="47"/>
      <c r="H59" s="47"/>
      <c r="I59" s="47"/>
      <c r="J59" s="47"/>
    </row>
    <row r="60" spans="2:10" x14ac:dyDescent="0.45">
      <c r="B60" s="34" t="s">
        <v>730</v>
      </c>
      <c r="C60" s="47"/>
      <c r="D60" s="47"/>
      <c r="E60" s="47"/>
      <c r="F60" s="47"/>
      <c r="G60" s="47"/>
      <c r="H60" s="47"/>
      <c r="I60" s="47"/>
      <c r="J60" s="47"/>
    </row>
    <row r="61" spans="2:10" x14ac:dyDescent="0.45">
      <c r="B61" s="34"/>
      <c r="C61" s="32"/>
      <c r="D61" s="32"/>
      <c r="E61" s="32"/>
      <c r="F61" s="32"/>
      <c r="G61" s="32"/>
      <c r="H61" s="32"/>
      <c r="I61" s="32"/>
      <c r="J61" s="32"/>
    </row>
    <row r="62" spans="2:10" x14ac:dyDescent="0.45">
      <c r="B62" s="28" t="s">
        <v>731</v>
      </c>
      <c r="C62" s="47"/>
      <c r="D62" s="47"/>
      <c r="E62" s="47"/>
      <c r="F62" s="47"/>
      <c r="G62" s="47"/>
      <c r="H62" s="47"/>
      <c r="I62" s="47"/>
      <c r="J62" s="47"/>
    </row>
    <row r="63" spans="2:10" x14ac:dyDescent="0.45">
      <c r="B63" s="34" t="s">
        <v>732</v>
      </c>
      <c r="C63" s="47"/>
      <c r="D63" s="47"/>
      <c r="E63" s="47"/>
      <c r="F63" s="47"/>
      <c r="G63" s="47"/>
      <c r="H63" s="47"/>
      <c r="I63" s="47"/>
      <c r="J63" s="47"/>
    </row>
    <row r="64" spans="2:10" x14ac:dyDescent="0.45">
      <c r="B64" s="34"/>
      <c r="C64" s="47"/>
      <c r="D64" s="47"/>
      <c r="E64" s="47"/>
      <c r="F64" s="47"/>
      <c r="G64" s="47"/>
      <c r="H64" s="47"/>
      <c r="I64" s="47"/>
      <c r="J64" s="47"/>
    </row>
    <row r="65" spans="2:10" x14ac:dyDescent="0.45">
      <c r="B65" s="28" t="s">
        <v>733</v>
      </c>
      <c r="C65" s="47"/>
      <c r="D65" s="47"/>
      <c r="E65" s="47"/>
      <c r="F65" s="47"/>
      <c r="G65" s="47"/>
      <c r="H65" s="47"/>
      <c r="I65" s="47"/>
      <c r="J65" s="47"/>
    </row>
    <row r="66" spans="2:10" x14ac:dyDescent="0.45">
      <c r="B66" s="34" t="s">
        <v>734</v>
      </c>
      <c r="C66" s="47"/>
      <c r="D66" s="47"/>
      <c r="E66" s="47"/>
      <c r="F66" s="47"/>
      <c r="G66" s="47"/>
      <c r="H66" s="47"/>
      <c r="I66" s="47"/>
      <c r="J66" s="47"/>
    </row>
    <row r="67" spans="2:10" x14ac:dyDescent="0.45">
      <c r="B67" s="34" t="s">
        <v>735</v>
      </c>
      <c r="C67" s="47"/>
      <c r="D67" s="47"/>
      <c r="E67" s="47"/>
      <c r="F67" s="47"/>
      <c r="G67" s="47"/>
      <c r="H67" s="47"/>
      <c r="I67" s="47"/>
      <c r="J67" s="47"/>
    </row>
    <row r="68" spans="2:10" x14ac:dyDescent="0.45">
      <c r="B68" s="34"/>
      <c r="C68" s="47"/>
      <c r="D68" s="47"/>
      <c r="E68" s="47"/>
      <c r="F68" s="47"/>
      <c r="G68" s="47"/>
      <c r="H68" s="47"/>
      <c r="I68" s="47"/>
      <c r="J68" s="47"/>
    </row>
    <row r="69" spans="2:10" x14ac:dyDescent="0.45">
      <c r="B69" s="28" t="s">
        <v>736</v>
      </c>
      <c r="C69" s="47"/>
      <c r="D69" s="47"/>
      <c r="E69" s="47"/>
      <c r="F69" s="47"/>
      <c r="G69" s="47"/>
      <c r="H69" s="47"/>
      <c r="I69" s="47"/>
      <c r="J69" s="47"/>
    </row>
    <row r="70" spans="2:10" x14ac:dyDescent="0.45">
      <c r="B70" s="34" t="s">
        <v>737</v>
      </c>
      <c r="C70" s="47"/>
      <c r="D70" s="47"/>
      <c r="E70" s="47"/>
      <c r="F70" s="47"/>
      <c r="G70" s="47"/>
      <c r="H70" s="47"/>
      <c r="I70" s="47"/>
      <c r="J70" s="47"/>
    </row>
    <row r="71" spans="2:10" x14ac:dyDescent="0.45">
      <c r="B71" s="34" t="s">
        <v>738</v>
      </c>
      <c r="C71" s="47"/>
      <c r="D71" s="47"/>
      <c r="E71" s="47"/>
      <c r="F71" s="47"/>
      <c r="G71" s="47"/>
      <c r="H71" s="47"/>
      <c r="I71" s="47"/>
      <c r="J71" s="47"/>
    </row>
    <row r="72" spans="2:10" x14ac:dyDescent="0.45">
      <c r="B72" s="34"/>
      <c r="C72" s="47"/>
      <c r="D72" s="47"/>
      <c r="E72" s="47"/>
      <c r="F72" s="47"/>
      <c r="G72" s="47"/>
      <c r="H72" s="47"/>
      <c r="I72" s="47"/>
      <c r="J72" s="47"/>
    </row>
    <row r="73" spans="2:10" x14ac:dyDescent="0.45">
      <c r="B73" s="28" t="s">
        <v>739</v>
      </c>
      <c r="C73" s="47"/>
      <c r="D73" s="47"/>
      <c r="E73" s="47"/>
      <c r="F73" s="47"/>
      <c r="G73" s="47"/>
      <c r="H73" s="47"/>
      <c r="I73" s="47"/>
      <c r="J73" s="47"/>
    </row>
    <row r="74" spans="2:10" x14ac:dyDescent="0.45">
      <c r="B74" s="34" t="s">
        <v>740</v>
      </c>
      <c r="C74" s="47"/>
      <c r="D74" s="47"/>
      <c r="E74" s="47"/>
      <c r="F74" s="47"/>
      <c r="G74" s="47"/>
      <c r="H74" s="47"/>
      <c r="I74" s="47"/>
      <c r="J74" s="47"/>
    </row>
    <row r="75" spans="2:10" x14ac:dyDescent="0.45">
      <c r="B75" s="34" t="s">
        <v>741</v>
      </c>
      <c r="C75" s="28"/>
      <c r="D75" s="28"/>
      <c r="E75" s="28"/>
      <c r="F75" s="28"/>
      <c r="G75" s="28"/>
      <c r="H75" s="28"/>
      <c r="I75" s="28"/>
      <c r="J75" s="28"/>
    </row>
    <row r="76" spans="2:10" x14ac:dyDescent="0.45">
      <c r="B76" s="4" t="s">
        <v>742</v>
      </c>
      <c r="C76" s="32"/>
      <c r="D76" s="32"/>
      <c r="E76" s="32"/>
      <c r="F76" s="32"/>
      <c r="G76" s="32"/>
      <c r="H76" s="32"/>
      <c r="I76" s="32"/>
      <c r="J76" s="32"/>
    </row>
    <row r="77" spans="2:10" x14ac:dyDescent="0.45">
      <c r="B77" s="4" t="s">
        <v>743</v>
      </c>
      <c r="C77" s="47"/>
      <c r="D77" s="47"/>
      <c r="E77" s="47"/>
      <c r="F77" s="47"/>
      <c r="G77" s="47"/>
      <c r="H77" s="47"/>
      <c r="I77" s="47"/>
      <c r="J77" s="47"/>
    </row>
    <row r="78" spans="2:10" x14ac:dyDescent="0.45">
      <c r="B78" s="47" t="s">
        <v>744</v>
      </c>
      <c r="C78" s="47"/>
      <c r="D78" s="47"/>
      <c r="E78" s="47"/>
      <c r="F78" s="47"/>
      <c r="G78" s="47"/>
      <c r="H78" s="47"/>
      <c r="I78" s="47"/>
      <c r="J78" s="47"/>
    </row>
    <row r="79" spans="2:10" x14ac:dyDescent="0.45">
      <c r="B79" s="47" t="s">
        <v>745</v>
      </c>
      <c r="C79" s="47"/>
      <c r="D79" s="47"/>
      <c r="E79" s="47"/>
      <c r="F79" s="47"/>
      <c r="G79" s="47"/>
      <c r="H79" s="47"/>
      <c r="I79" s="47"/>
      <c r="J79" s="47"/>
    </row>
    <row r="80" spans="2:10" x14ac:dyDescent="0.45">
      <c r="B80" s="4" t="s">
        <v>746</v>
      </c>
      <c r="C80" s="47"/>
      <c r="D80" s="47"/>
      <c r="E80" s="47"/>
      <c r="F80" s="47"/>
      <c r="G80" s="47"/>
      <c r="H80" s="47"/>
      <c r="I80" s="47"/>
      <c r="J80" s="47"/>
    </row>
    <row r="81" spans="2:10" x14ac:dyDescent="0.45">
      <c r="B81" s="4" t="s">
        <v>747</v>
      </c>
      <c r="C81" s="47"/>
      <c r="D81" s="47"/>
      <c r="E81" s="47"/>
      <c r="F81" s="47"/>
      <c r="G81" s="47"/>
      <c r="H81" s="47"/>
      <c r="I81" s="47"/>
      <c r="J81" s="47"/>
    </row>
    <row r="82" spans="2:10" x14ac:dyDescent="0.45">
      <c r="B82" s="34" t="s">
        <v>748</v>
      </c>
      <c r="C82" s="28"/>
      <c r="D82" s="28"/>
      <c r="E82" s="28"/>
      <c r="F82" s="28"/>
      <c r="G82" s="28"/>
      <c r="H82" s="28"/>
      <c r="I82" s="28"/>
      <c r="J82" s="28"/>
    </row>
    <row r="83" spans="2:10" x14ac:dyDescent="0.45">
      <c r="B83" s="34" t="s">
        <v>749</v>
      </c>
      <c r="C83" s="32"/>
      <c r="D83" s="32"/>
      <c r="E83" s="32"/>
      <c r="F83" s="32"/>
      <c r="G83" s="32"/>
      <c r="H83" s="32"/>
      <c r="I83" s="32"/>
      <c r="J83" s="32"/>
    </row>
    <row r="84" spans="2:10" x14ac:dyDescent="0.45">
      <c r="B84" s="34"/>
      <c r="C84" s="47"/>
      <c r="D84" s="47"/>
      <c r="E84" s="47"/>
      <c r="F84" s="47"/>
      <c r="G84" s="47"/>
      <c r="H84" s="47"/>
      <c r="I84" s="47"/>
      <c r="J84" s="47"/>
    </row>
    <row r="85" spans="2:10" x14ac:dyDescent="0.45">
      <c r="B85" s="28" t="s">
        <v>750</v>
      </c>
      <c r="C85" s="47"/>
      <c r="D85" s="47"/>
      <c r="E85" s="47"/>
      <c r="F85" s="47"/>
      <c r="G85" s="47"/>
      <c r="H85" s="47"/>
      <c r="I85" s="47"/>
      <c r="J85" s="47"/>
    </row>
    <row r="86" spans="2:10" x14ac:dyDescent="0.45">
      <c r="B86" s="34" t="s">
        <v>751</v>
      </c>
      <c r="C86" s="47"/>
      <c r="D86" s="47"/>
      <c r="E86" s="47"/>
      <c r="F86" s="47"/>
      <c r="G86" s="47"/>
      <c r="H86" s="47"/>
      <c r="I86" s="47"/>
      <c r="J86" s="47"/>
    </row>
    <row r="87" spans="2:10" x14ac:dyDescent="0.45">
      <c r="B87" s="34" t="s">
        <v>752</v>
      </c>
      <c r="C87" s="47"/>
      <c r="D87" s="47"/>
      <c r="E87" s="47"/>
      <c r="F87" s="47"/>
      <c r="G87" s="47"/>
      <c r="H87" s="47"/>
      <c r="I87" s="47"/>
      <c r="J87" s="47"/>
    </row>
    <row r="88" spans="2:10" x14ac:dyDescent="0.45">
      <c r="B88" s="34" t="s">
        <v>753</v>
      </c>
      <c r="C88" s="47"/>
      <c r="D88" s="47"/>
      <c r="E88" s="47"/>
      <c r="F88" s="47"/>
      <c r="G88" s="47"/>
      <c r="H88" s="47"/>
      <c r="I88" s="47"/>
      <c r="J88" s="47"/>
    </row>
    <row r="89" spans="2:10" x14ac:dyDescent="0.45">
      <c r="B89" s="34"/>
      <c r="C89" s="47"/>
      <c r="D89" s="47"/>
      <c r="E89" s="47"/>
      <c r="F89" s="47"/>
      <c r="G89" s="47"/>
      <c r="H89" s="47"/>
      <c r="I89" s="47"/>
      <c r="J89" s="47"/>
    </row>
    <row r="90" spans="2:10" x14ac:dyDescent="0.45">
      <c r="B90" s="28" t="s">
        <v>754</v>
      </c>
      <c r="C90" s="47"/>
      <c r="D90" s="47"/>
      <c r="E90" s="47"/>
      <c r="F90" s="47"/>
      <c r="G90" s="47"/>
      <c r="H90" s="47"/>
      <c r="I90" s="47"/>
      <c r="J90" s="47"/>
    </row>
    <row r="91" spans="2:10" x14ac:dyDescent="0.45">
      <c r="B91" s="34" t="s">
        <v>755</v>
      </c>
      <c r="C91" s="47"/>
      <c r="D91" s="47"/>
      <c r="E91" s="47"/>
      <c r="F91" s="47"/>
      <c r="G91" s="47"/>
      <c r="H91" s="47"/>
      <c r="I91" s="47"/>
      <c r="J91" s="47"/>
    </row>
    <row r="92" spans="2:10" x14ac:dyDescent="0.45">
      <c r="B92" s="34" t="s">
        <v>756</v>
      </c>
      <c r="C92" s="47"/>
      <c r="D92" s="47"/>
      <c r="E92" s="47"/>
      <c r="F92" s="47"/>
      <c r="G92" s="47"/>
      <c r="H92" s="47"/>
      <c r="I92" s="47"/>
      <c r="J92" s="47"/>
    </row>
    <row r="93" spans="2:10" x14ac:dyDescent="0.45">
      <c r="B93" s="34"/>
      <c r="C93" s="47"/>
      <c r="D93" s="47"/>
      <c r="E93" s="47"/>
      <c r="F93" s="47"/>
      <c r="G93" s="47"/>
      <c r="H93" s="47"/>
      <c r="I93" s="47"/>
      <c r="J93" s="47"/>
    </row>
    <row r="94" spans="2:10" x14ac:dyDescent="0.45">
      <c r="B94" s="28" t="s">
        <v>757</v>
      </c>
      <c r="C94" s="47"/>
      <c r="D94" s="47"/>
      <c r="E94" s="47"/>
      <c r="F94" s="47"/>
      <c r="G94" s="47"/>
      <c r="H94" s="47"/>
      <c r="I94" s="47"/>
      <c r="J94" s="47"/>
    </row>
    <row r="95" spans="2:10" x14ac:dyDescent="0.45">
      <c r="B95" s="34" t="s">
        <v>758</v>
      </c>
      <c r="C95" s="47"/>
      <c r="D95" s="47"/>
      <c r="E95" s="47"/>
      <c r="F95" s="47"/>
      <c r="G95" s="47"/>
      <c r="H95" s="47"/>
      <c r="I95" s="47"/>
      <c r="J95" s="47"/>
    </row>
    <row r="96" spans="2:10" x14ac:dyDescent="0.45">
      <c r="B96" s="34" t="s">
        <v>759</v>
      </c>
      <c r="C96" s="47"/>
      <c r="D96" s="47"/>
      <c r="E96" s="47"/>
      <c r="F96" s="47"/>
      <c r="G96" s="47"/>
      <c r="H96" s="47"/>
      <c r="I96" s="47"/>
      <c r="J96" s="47"/>
    </row>
    <row r="97" spans="2:12" x14ac:dyDescent="0.45">
      <c r="B97" s="34" t="s">
        <v>760</v>
      </c>
      <c r="C97" s="47"/>
      <c r="D97" s="47"/>
      <c r="E97" s="47"/>
      <c r="F97" s="47"/>
      <c r="G97" s="47"/>
      <c r="H97" s="47"/>
      <c r="I97" s="47"/>
      <c r="J97" s="47"/>
    </row>
    <row r="98" spans="2:12" x14ac:dyDescent="0.45">
      <c r="B98" s="34"/>
      <c r="C98" s="47"/>
      <c r="D98" s="47"/>
      <c r="E98" s="47"/>
      <c r="F98" s="47"/>
      <c r="G98" s="47"/>
      <c r="H98" s="47"/>
      <c r="I98" s="47"/>
      <c r="J98" s="47"/>
    </row>
    <row r="99" spans="2:12" x14ac:dyDescent="0.45">
      <c r="B99" s="251" t="s">
        <v>761</v>
      </c>
      <c r="C99" s="146"/>
      <c r="D99" s="146"/>
      <c r="E99" s="146"/>
      <c r="F99" s="146"/>
      <c r="G99" s="146"/>
      <c r="H99" s="146"/>
      <c r="I99" s="147"/>
      <c r="J99" s="146"/>
    </row>
    <row r="100" spans="2:12" x14ac:dyDescent="0.45">
      <c r="B100" s="34"/>
      <c r="C100" s="47"/>
      <c r="D100" s="47"/>
      <c r="E100" s="47"/>
      <c r="F100" s="47"/>
      <c r="G100" s="47"/>
      <c r="H100" s="47"/>
      <c r="I100" s="47"/>
      <c r="J100" s="47"/>
    </row>
    <row r="101" spans="2:12" x14ac:dyDescent="0.45">
      <c r="B101" s="34"/>
      <c r="C101" s="47"/>
      <c r="D101" s="47"/>
      <c r="E101" s="47"/>
      <c r="F101" s="47"/>
      <c r="G101" s="47"/>
      <c r="H101" s="47"/>
      <c r="I101" s="47"/>
      <c r="J101" s="47"/>
    </row>
    <row r="102" spans="2:12" x14ac:dyDescent="0.45">
      <c r="B102" s="4"/>
      <c r="C102" s="149" t="e">
        <f>#REF!</f>
        <v>#REF!</v>
      </c>
      <c r="D102" s="146"/>
      <c r="E102" s="146"/>
      <c r="F102" s="146"/>
      <c r="G102" s="146"/>
      <c r="H102" s="146"/>
      <c r="I102" s="139"/>
      <c r="J102" s="47"/>
    </row>
    <row r="103" spans="2:12" ht="17.75" customHeight="1" x14ac:dyDescent="0.45">
      <c r="B103" s="32"/>
      <c r="C103" s="47"/>
      <c r="D103" s="47"/>
      <c r="E103" s="47"/>
      <c r="F103" s="47"/>
      <c r="G103" s="47"/>
      <c r="H103" s="47"/>
      <c r="I103" s="47"/>
      <c r="J103" s="47"/>
    </row>
    <row r="104" spans="2:12" ht="17.75" customHeight="1" x14ac:dyDescent="0.45">
      <c r="B104" s="32"/>
      <c r="C104" s="47"/>
      <c r="D104" s="47"/>
      <c r="E104" s="47"/>
      <c r="F104" s="47"/>
      <c r="G104" s="47"/>
      <c r="H104" s="47"/>
      <c r="I104" s="47"/>
      <c r="J104" s="47"/>
    </row>
    <row r="105" spans="2:12" ht="17.75" customHeight="1" x14ac:dyDescent="0.45">
      <c r="B105" s="135" t="s">
        <v>30</v>
      </c>
      <c r="C105" s="135" t="s">
        <v>31</v>
      </c>
      <c r="D105" s="44" t="e">
        <f>#REF!</f>
        <v>#REF!</v>
      </c>
      <c r="E105" s="44"/>
      <c r="F105" s="44"/>
      <c r="G105" s="44"/>
      <c r="H105" s="25"/>
      <c r="I105" s="25"/>
      <c r="J105" s="47"/>
    </row>
    <row r="106" spans="2:12" ht="17.75" customHeight="1" x14ac:dyDescent="0.45">
      <c r="B106" s="135"/>
      <c r="C106" s="135" t="s">
        <v>33</v>
      </c>
      <c r="D106" s="44" t="e">
        <f>#REF!</f>
        <v>#REF!</v>
      </c>
      <c r="E106" s="44"/>
      <c r="F106" s="44"/>
      <c r="G106" s="44"/>
      <c r="H106" s="25"/>
      <c r="I106" s="25"/>
      <c r="J106" s="47"/>
    </row>
    <row r="107" spans="2:12" ht="17.75" customHeight="1" x14ac:dyDescent="0.45">
      <c r="B107" s="135"/>
      <c r="C107" s="135" t="s">
        <v>35</v>
      </c>
      <c r="D107" s="44" t="e">
        <f>#REF!</f>
        <v>#REF!</v>
      </c>
      <c r="E107" s="44"/>
      <c r="F107" s="44"/>
      <c r="G107" s="44"/>
      <c r="H107" s="135" t="s">
        <v>37</v>
      </c>
      <c r="I107" s="15"/>
      <c r="J107" s="47"/>
    </row>
    <row r="108" spans="2:12" ht="17.75" customHeight="1" x14ac:dyDescent="0.45">
      <c r="B108" s="135"/>
      <c r="C108" s="135"/>
      <c r="D108" s="135"/>
      <c r="E108" s="135"/>
      <c r="F108" s="135"/>
      <c r="G108" s="135"/>
      <c r="H108" s="135"/>
      <c r="I108" s="135"/>
      <c r="J108" s="47"/>
    </row>
    <row r="109" spans="2:12" ht="17.75" customHeight="1" x14ac:dyDescent="0.45">
      <c r="B109" s="135"/>
      <c r="C109" s="135"/>
      <c r="D109" s="135"/>
      <c r="E109" s="135"/>
      <c r="F109" s="135"/>
      <c r="G109" s="135"/>
      <c r="H109" s="135"/>
      <c r="I109" s="135"/>
      <c r="J109" s="47"/>
    </row>
    <row r="110" spans="2:12" ht="17.75" customHeight="1" x14ac:dyDescent="0.45">
      <c r="B110" s="135" t="s">
        <v>38</v>
      </c>
      <c r="C110" s="135" t="s">
        <v>31</v>
      </c>
      <c r="D110" s="44" t="e">
        <f>#REF!</f>
        <v>#REF!</v>
      </c>
      <c r="E110" s="44"/>
      <c r="F110" s="44"/>
      <c r="G110" s="44"/>
      <c r="H110" s="6"/>
      <c r="I110" s="6"/>
      <c r="J110" s="47"/>
      <c r="L110" s="15" t="s">
        <v>19</v>
      </c>
    </row>
    <row r="111" spans="2:12" ht="17.75" customHeight="1" x14ac:dyDescent="0.45">
      <c r="B111" s="135"/>
      <c r="C111" s="135" t="s">
        <v>33</v>
      </c>
      <c r="D111" s="44" t="e">
        <f>#REF!</f>
        <v>#REF!</v>
      </c>
      <c r="E111" s="44"/>
      <c r="F111" s="44"/>
      <c r="G111" s="44"/>
      <c r="H111" s="6"/>
      <c r="I111" s="6"/>
      <c r="J111" s="47"/>
      <c r="L111" s="15" t="s">
        <v>19</v>
      </c>
    </row>
    <row r="112" spans="2:12" ht="17.75" customHeight="1" x14ac:dyDescent="0.45">
      <c r="B112" s="135"/>
      <c r="C112" s="135" t="s">
        <v>35</v>
      </c>
      <c r="D112" s="44" t="e">
        <f>#REF!</f>
        <v>#REF!</v>
      </c>
      <c r="E112" s="44"/>
      <c r="F112" s="44"/>
      <c r="G112" s="44"/>
      <c r="H112" s="135" t="s">
        <v>37</v>
      </c>
      <c r="I112" s="15"/>
      <c r="J112" s="32"/>
      <c r="L112" s="15" t="s">
        <v>19</v>
      </c>
    </row>
    <row r="113" spans="2:9" x14ac:dyDescent="0.45">
      <c r="B113" s="135"/>
      <c r="C113" s="135"/>
      <c r="D113" s="135"/>
      <c r="E113" s="135"/>
      <c r="F113" s="7"/>
      <c r="G113" s="7"/>
      <c r="H113" s="7"/>
      <c r="I113" s="7"/>
    </row>
  </sheetData>
  <mergeCells count="8">
    <mergeCell ref="B7:J7"/>
    <mergeCell ref="B11:J11"/>
    <mergeCell ref="B3:J3"/>
    <mergeCell ref="B99:J99"/>
    <mergeCell ref="C102:H102"/>
    <mergeCell ref="B9:J9"/>
    <mergeCell ref="B8:J8"/>
    <mergeCell ref="B6:J6"/>
  </mergeCells>
  <phoneticPr fontId="4" type="noConversion"/>
  <pageMargins left="0.7" right="0.7" top="0.75" bottom="0.75" header="0.3" footer="0.3"/>
  <pageSetup paperSize="9" scale="42" fitToHeight="0" orientation="portrait" r:id="rId1"/>
  <rowBreaks count="1" manualBreakCount="1">
    <brk id="64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5"/>
  <sheetViews>
    <sheetView showGridLines="0" view="pageBreakPreview" zoomScale="85" zoomScaleNormal="100" zoomScaleSheetLayoutView="85" workbookViewId="0">
      <selection activeCell="N39" sqref="N39"/>
    </sheetView>
  </sheetViews>
  <sheetFormatPr defaultColWidth="9" defaultRowHeight="17" x14ac:dyDescent="0.45"/>
  <cols>
    <col min="1" max="1" width="2.6640625" style="15" customWidth="1"/>
    <col min="2" max="8" width="12.9140625" style="15" customWidth="1"/>
    <col min="9" max="9" width="12.9140625" style="16" customWidth="1"/>
    <col min="10" max="10" width="4.5" style="15" customWidth="1"/>
    <col min="11" max="11" width="9" style="15" customWidth="1"/>
    <col min="12" max="16384" width="9" style="15"/>
  </cols>
  <sheetData>
    <row r="1" spans="1:12" x14ac:dyDescent="0.45">
      <c r="B1" s="25"/>
      <c r="C1" s="25"/>
      <c r="D1" s="25"/>
      <c r="E1" s="25"/>
      <c r="F1" s="25"/>
      <c r="G1" s="25"/>
      <c r="H1" s="25"/>
      <c r="I1" s="25"/>
      <c r="J1" s="25"/>
      <c r="L1" s="19"/>
    </row>
    <row r="2" spans="1:12" x14ac:dyDescent="0.45">
      <c r="B2" s="25"/>
      <c r="C2" s="25"/>
      <c r="D2" s="25"/>
      <c r="E2" s="25"/>
      <c r="F2" s="25"/>
      <c r="G2" s="25"/>
      <c r="H2" s="25"/>
      <c r="I2" s="25"/>
      <c r="J2" s="25"/>
      <c r="L2" s="20"/>
    </row>
    <row r="3" spans="1:12" ht="20.399999999999999" customHeight="1" x14ac:dyDescent="0.45">
      <c r="A3" s="199" t="s">
        <v>762</v>
      </c>
      <c r="B3" s="146"/>
      <c r="C3" s="146"/>
      <c r="D3" s="146"/>
      <c r="E3" s="146"/>
      <c r="F3" s="146"/>
      <c r="G3" s="146"/>
      <c r="H3" s="146"/>
      <c r="I3" s="147"/>
      <c r="J3" s="146"/>
    </row>
    <row r="4" spans="1:12" x14ac:dyDescent="0.45">
      <c r="B4" s="25"/>
      <c r="C4" s="25"/>
      <c r="D4" s="25"/>
      <c r="E4" s="25"/>
      <c r="F4" s="25"/>
      <c r="G4" s="25"/>
      <c r="H4" s="25"/>
      <c r="I4" s="25"/>
      <c r="J4" s="25"/>
    </row>
    <row r="5" spans="1:12" x14ac:dyDescent="0.45">
      <c r="B5" s="44"/>
      <c r="C5" s="44"/>
      <c r="D5" s="44"/>
      <c r="E5" s="44"/>
      <c r="F5" s="44"/>
      <c r="G5" s="44"/>
      <c r="H5" s="44"/>
      <c r="I5" s="44"/>
      <c r="J5" s="44"/>
    </row>
    <row r="6" spans="1:12" x14ac:dyDescent="0.45">
      <c r="A6" s="148" t="s">
        <v>763</v>
      </c>
      <c r="B6" s="146"/>
      <c r="C6" s="146"/>
      <c r="D6" s="146"/>
      <c r="E6" s="146"/>
      <c r="F6" s="146"/>
      <c r="G6" s="146"/>
      <c r="H6" s="146"/>
      <c r="I6" s="147"/>
      <c r="J6" s="146"/>
    </row>
    <row r="7" spans="1:12" x14ac:dyDescent="0.45">
      <c r="A7" s="218" t="s">
        <v>764</v>
      </c>
      <c r="B7" s="146"/>
      <c r="C7" s="146"/>
      <c r="D7" s="146"/>
      <c r="E7" s="146"/>
      <c r="F7" s="146"/>
      <c r="G7" s="146"/>
      <c r="H7" s="146"/>
      <c r="I7" s="147"/>
      <c r="J7" s="146"/>
    </row>
    <row r="8" spans="1:12" x14ac:dyDescent="0.45">
      <c r="B8" s="135"/>
      <c r="C8" s="135"/>
      <c r="D8" s="135"/>
      <c r="E8" s="135"/>
      <c r="F8" s="135"/>
      <c r="G8" s="135"/>
      <c r="H8" s="135"/>
      <c r="I8" s="135"/>
      <c r="J8" s="135"/>
    </row>
    <row r="9" spans="1:12" x14ac:dyDescent="0.45">
      <c r="B9" s="135"/>
      <c r="C9" s="135"/>
      <c r="D9" s="135"/>
      <c r="E9" s="135"/>
      <c r="F9" s="135"/>
      <c r="G9" s="135"/>
      <c r="H9" s="135"/>
      <c r="I9" s="135"/>
      <c r="J9" s="135"/>
    </row>
    <row r="10" spans="1:12" x14ac:dyDescent="0.45">
      <c r="B10" s="25" t="s">
        <v>765</v>
      </c>
      <c r="C10" s="135"/>
      <c r="D10" s="135"/>
      <c r="E10" s="135"/>
      <c r="F10" s="135"/>
      <c r="G10" s="135"/>
      <c r="H10" s="135"/>
      <c r="I10" s="135"/>
      <c r="J10" s="135"/>
    </row>
    <row r="11" spans="1:12" x14ac:dyDescent="0.45">
      <c r="B11" s="32" t="s">
        <v>766</v>
      </c>
      <c r="C11" s="28"/>
      <c r="D11" s="28"/>
      <c r="E11" s="28"/>
      <c r="F11" s="28"/>
      <c r="G11" s="28"/>
      <c r="H11" s="28"/>
      <c r="I11" s="28"/>
      <c r="J11" s="28"/>
    </row>
    <row r="12" spans="1:12" x14ac:dyDescent="0.45">
      <c r="B12" s="34"/>
      <c r="C12" s="32"/>
      <c r="D12" s="32"/>
      <c r="E12" s="32"/>
      <c r="F12" s="32"/>
      <c r="G12" s="32"/>
      <c r="H12" s="32"/>
      <c r="I12" s="32"/>
      <c r="J12" s="32"/>
    </row>
    <row r="13" spans="1:12" x14ac:dyDescent="0.45">
      <c r="B13" s="21" t="s">
        <v>767</v>
      </c>
      <c r="C13" s="32"/>
      <c r="D13" s="32"/>
      <c r="E13" s="32"/>
      <c r="F13" s="32"/>
      <c r="G13" s="32"/>
      <c r="H13" s="32"/>
      <c r="I13" s="32"/>
      <c r="J13" s="32"/>
    </row>
    <row r="14" spans="1:12" x14ac:dyDescent="0.45">
      <c r="B14" s="32" t="s">
        <v>768</v>
      </c>
      <c r="C14" s="32"/>
      <c r="D14" s="32"/>
      <c r="E14" s="32"/>
      <c r="F14" s="32"/>
      <c r="G14" s="32"/>
      <c r="H14" s="32"/>
      <c r="I14" s="32"/>
      <c r="J14" s="32"/>
    </row>
    <row r="15" spans="1:12" x14ac:dyDescent="0.45">
      <c r="B15" s="32" t="s">
        <v>769</v>
      </c>
      <c r="C15" s="32"/>
      <c r="D15" s="32"/>
      <c r="E15" s="32"/>
      <c r="F15" s="32"/>
      <c r="G15" s="32"/>
      <c r="H15" s="32"/>
      <c r="I15" s="32"/>
      <c r="J15" s="32"/>
    </row>
    <row r="16" spans="1:12" x14ac:dyDescent="0.45">
      <c r="B16" s="32"/>
      <c r="C16" s="32"/>
      <c r="D16" s="32"/>
      <c r="E16" s="32"/>
      <c r="F16" s="32"/>
      <c r="G16" s="32"/>
      <c r="H16" s="32"/>
      <c r="I16" s="32"/>
      <c r="J16" s="32"/>
    </row>
    <row r="17" spans="2:10" x14ac:dyDescent="0.45">
      <c r="B17" s="32" t="s">
        <v>770</v>
      </c>
      <c r="C17" s="32"/>
      <c r="D17" s="32"/>
      <c r="E17" s="32"/>
      <c r="F17" s="32"/>
      <c r="G17" s="32"/>
      <c r="H17" s="32"/>
      <c r="I17" s="32"/>
      <c r="J17" s="32"/>
    </row>
    <row r="18" spans="2:10" x14ac:dyDescent="0.45">
      <c r="B18" s="32" t="s">
        <v>771</v>
      </c>
      <c r="C18" s="32"/>
      <c r="D18" s="32"/>
      <c r="E18" s="32"/>
      <c r="F18" s="32"/>
      <c r="G18" s="32"/>
      <c r="H18" s="32"/>
      <c r="I18" s="32"/>
      <c r="J18" s="32"/>
    </row>
    <row r="19" spans="2:10" x14ac:dyDescent="0.45">
      <c r="B19" s="32" t="s">
        <v>772</v>
      </c>
      <c r="C19" s="32"/>
      <c r="D19" s="32"/>
      <c r="E19" s="32"/>
      <c r="F19" s="32"/>
      <c r="G19" s="32"/>
      <c r="H19" s="32"/>
      <c r="I19" s="32"/>
      <c r="J19" s="32"/>
    </row>
    <row r="20" spans="2:10" x14ac:dyDescent="0.45">
      <c r="B20" s="32"/>
      <c r="C20" s="32"/>
      <c r="D20" s="32"/>
      <c r="E20" s="32"/>
      <c r="F20" s="32"/>
      <c r="G20" s="32"/>
      <c r="H20" s="32"/>
      <c r="I20" s="32"/>
      <c r="J20" s="32"/>
    </row>
    <row r="21" spans="2:10" x14ac:dyDescent="0.45">
      <c r="B21" s="32" t="s">
        <v>773</v>
      </c>
      <c r="C21" s="32"/>
      <c r="D21" s="32"/>
      <c r="E21" s="32"/>
      <c r="F21" s="32"/>
      <c r="G21" s="32"/>
      <c r="H21" s="32"/>
      <c r="I21" s="32"/>
      <c r="J21" s="32"/>
    </row>
    <row r="22" spans="2:10" x14ac:dyDescent="0.45">
      <c r="B22" s="32" t="s">
        <v>774</v>
      </c>
      <c r="C22" s="32"/>
      <c r="D22" s="32"/>
      <c r="E22" s="32"/>
      <c r="F22" s="32"/>
      <c r="G22" s="32"/>
      <c r="H22" s="32"/>
      <c r="I22" s="32"/>
      <c r="J22" s="32"/>
    </row>
    <row r="23" spans="2:10" x14ac:dyDescent="0.45">
      <c r="B23" s="32" t="s">
        <v>775</v>
      </c>
      <c r="C23" s="32"/>
      <c r="D23" s="32"/>
      <c r="E23" s="32"/>
      <c r="F23" s="32"/>
      <c r="G23" s="32"/>
      <c r="H23" s="32"/>
      <c r="I23" s="32"/>
      <c r="J23" s="32"/>
    </row>
    <row r="24" spans="2:10" x14ac:dyDescent="0.45">
      <c r="B24" s="32"/>
      <c r="C24" s="32"/>
      <c r="D24" s="32"/>
      <c r="E24" s="32"/>
      <c r="F24" s="32"/>
      <c r="G24" s="32"/>
      <c r="H24" s="32"/>
      <c r="I24" s="32"/>
      <c r="J24" s="32"/>
    </row>
    <row r="25" spans="2:10" x14ac:dyDescent="0.45">
      <c r="B25" s="32" t="s">
        <v>776</v>
      </c>
      <c r="C25" s="28"/>
      <c r="D25" s="28"/>
      <c r="E25" s="28"/>
      <c r="F25" s="28"/>
      <c r="G25" s="28"/>
      <c r="H25" s="28"/>
      <c r="I25" s="28"/>
      <c r="J25" s="28"/>
    </row>
    <row r="26" spans="2:10" x14ac:dyDescent="0.45">
      <c r="B26" s="34" t="s">
        <v>777</v>
      </c>
      <c r="C26" s="32"/>
      <c r="D26" s="32"/>
      <c r="E26" s="32"/>
      <c r="F26" s="32"/>
      <c r="G26" s="32"/>
      <c r="H26" s="32"/>
      <c r="I26" s="32"/>
      <c r="J26" s="32"/>
    </row>
    <row r="27" spans="2:10" x14ac:dyDescent="0.45">
      <c r="B27" s="34"/>
      <c r="C27" s="47"/>
      <c r="D27" s="47"/>
      <c r="E27" s="47"/>
      <c r="F27" s="47"/>
      <c r="G27" s="47"/>
      <c r="H27" s="47"/>
      <c r="I27" s="47"/>
      <c r="J27" s="47"/>
    </row>
    <row r="28" spans="2:10" x14ac:dyDescent="0.45">
      <c r="B28" s="34"/>
      <c r="C28" s="32"/>
      <c r="D28" s="32"/>
      <c r="E28" s="32"/>
      <c r="F28" s="32"/>
      <c r="G28" s="32"/>
      <c r="H28" s="32"/>
      <c r="I28" s="32"/>
      <c r="J28" s="32"/>
    </row>
    <row r="29" spans="2:10" x14ac:dyDescent="0.45">
      <c r="B29" s="22" t="s">
        <v>778</v>
      </c>
      <c r="C29" s="47"/>
      <c r="D29" s="47"/>
      <c r="E29" s="47"/>
      <c r="F29" s="47"/>
      <c r="G29" s="47"/>
      <c r="H29" s="47"/>
      <c r="I29" s="47"/>
      <c r="J29" s="47"/>
    </row>
    <row r="30" spans="2:10" x14ac:dyDescent="0.45">
      <c r="B30" s="22" t="s">
        <v>779</v>
      </c>
      <c r="C30" s="47"/>
      <c r="D30" s="47"/>
      <c r="E30" s="47"/>
      <c r="F30" s="47"/>
      <c r="G30" s="47"/>
      <c r="H30" s="47"/>
      <c r="I30" s="47"/>
      <c r="J30" s="47"/>
    </row>
    <row r="31" spans="2:10" x14ac:dyDescent="0.45">
      <c r="B31" s="22" t="s">
        <v>780</v>
      </c>
      <c r="C31" s="47"/>
      <c r="D31" s="47"/>
      <c r="E31" s="47"/>
      <c r="F31" s="47"/>
      <c r="G31" s="47"/>
      <c r="H31" s="47"/>
      <c r="I31" s="47"/>
      <c r="J31" s="47"/>
    </row>
    <row r="32" spans="2:10" x14ac:dyDescent="0.45">
      <c r="B32" s="22"/>
      <c r="C32" s="28"/>
      <c r="D32" s="28"/>
      <c r="E32" s="28"/>
      <c r="F32" s="28"/>
      <c r="G32" s="28"/>
      <c r="H32" s="28"/>
      <c r="I32" s="28"/>
      <c r="J32" s="28"/>
    </row>
    <row r="33" spans="2:11" x14ac:dyDescent="0.45">
      <c r="B33" s="32"/>
      <c r="C33" s="32"/>
      <c r="D33" s="32"/>
      <c r="E33" s="32"/>
      <c r="F33" s="32"/>
      <c r="G33" s="32"/>
      <c r="H33" s="32"/>
      <c r="I33" s="32"/>
      <c r="J33" s="32"/>
    </row>
    <row r="34" spans="2:11" x14ac:dyDescent="0.45">
      <c r="C34" s="149" t="e">
        <f>#REF!</f>
        <v>#REF!</v>
      </c>
      <c r="D34" s="146"/>
      <c r="E34" s="146"/>
      <c r="F34" s="146"/>
      <c r="G34" s="146"/>
      <c r="H34" s="146"/>
      <c r="I34" s="139"/>
      <c r="J34" s="47"/>
    </row>
    <row r="35" spans="2:11" ht="17.75" customHeight="1" x14ac:dyDescent="0.45">
      <c r="B35" s="32"/>
      <c r="C35" s="47"/>
      <c r="D35" s="47"/>
      <c r="E35" s="47"/>
      <c r="F35" s="47"/>
      <c r="G35" s="47"/>
      <c r="H35" s="47"/>
      <c r="I35" s="47"/>
      <c r="J35" s="47"/>
    </row>
    <row r="36" spans="2:11" ht="17.75" customHeight="1" x14ac:dyDescent="0.45">
      <c r="B36" s="32"/>
      <c r="C36" s="47"/>
      <c r="D36" s="47"/>
      <c r="E36" s="47"/>
      <c r="F36" s="47"/>
      <c r="G36" s="47"/>
      <c r="H36" s="47"/>
      <c r="I36" s="47"/>
      <c r="J36" s="47"/>
    </row>
    <row r="37" spans="2:11" ht="17.75" customHeight="1" x14ac:dyDescent="0.45">
      <c r="B37" s="135" t="s">
        <v>30</v>
      </c>
      <c r="C37" s="135" t="s">
        <v>31</v>
      </c>
      <c r="D37" s="44" t="e">
        <f>#REF!</f>
        <v>#REF!</v>
      </c>
      <c r="E37" s="44"/>
      <c r="F37" s="44"/>
      <c r="G37" s="44"/>
      <c r="H37" s="25"/>
      <c r="I37" s="25"/>
      <c r="J37" s="47"/>
    </row>
    <row r="38" spans="2:11" ht="17.75" customHeight="1" x14ac:dyDescent="0.45">
      <c r="B38" s="135"/>
      <c r="C38" s="135" t="s">
        <v>33</v>
      </c>
      <c r="D38" s="44" t="e">
        <f>#REF!</f>
        <v>#REF!</v>
      </c>
      <c r="E38" s="44"/>
      <c r="F38" s="44"/>
      <c r="G38" s="44"/>
      <c r="H38" s="25"/>
      <c r="I38" s="25"/>
      <c r="J38" s="47"/>
    </row>
    <row r="39" spans="2:11" ht="17.75" customHeight="1" x14ac:dyDescent="0.45">
      <c r="B39" s="135"/>
      <c r="C39" s="135" t="s">
        <v>35</v>
      </c>
      <c r="D39" s="44" t="e">
        <f>#REF!</f>
        <v>#REF!</v>
      </c>
      <c r="E39" s="44"/>
      <c r="F39" s="44"/>
      <c r="G39" s="44"/>
      <c r="H39" s="135" t="s">
        <v>37</v>
      </c>
      <c r="I39" s="15"/>
      <c r="J39" s="47"/>
    </row>
    <row r="40" spans="2:11" ht="17.75" customHeight="1" x14ac:dyDescent="0.45">
      <c r="B40" s="135"/>
      <c r="C40" s="135"/>
      <c r="D40" s="135"/>
      <c r="E40" s="135"/>
      <c r="F40" s="135"/>
      <c r="G40" s="135"/>
      <c r="H40" s="135"/>
      <c r="I40" s="135"/>
      <c r="J40" s="47"/>
    </row>
    <row r="41" spans="2:11" ht="17.75" customHeight="1" x14ac:dyDescent="0.45">
      <c r="B41" s="135"/>
      <c r="C41" s="135"/>
      <c r="D41" s="135"/>
      <c r="E41" s="135"/>
      <c r="F41" s="135"/>
      <c r="G41" s="135"/>
      <c r="H41" s="135"/>
      <c r="I41" s="135"/>
      <c r="J41" s="47"/>
    </row>
    <row r="42" spans="2:11" ht="17.75" customHeight="1" x14ac:dyDescent="0.45">
      <c r="B42" s="135" t="s">
        <v>38</v>
      </c>
      <c r="C42" s="135" t="s">
        <v>31</v>
      </c>
      <c r="D42" s="44" t="e">
        <f>#REF!</f>
        <v>#REF!</v>
      </c>
      <c r="E42" s="44"/>
      <c r="F42" s="44"/>
      <c r="G42" s="44"/>
      <c r="H42" s="6"/>
      <c r="I42" s="6"/>
      <c r="J42" s="47"/>
      <c r="K42" s="15" t="s">
        <v>19</v>
      </c>
    </row>
    <row r="43" spans="2:11" ht="17.75" customHeight="1" x14ac:dyDescent="0.45">
      <c r="B43" s="135"/>
      <c r="C43" s="135" t="s">
        <v>33</v>
      </c>
      <c r="D43" s="44" t="e">
        <f>#REF!</f>
        <v>#REF!</v>
      </c>
      <c r="E43" s="44"/>
      <c r="F43" s="44"/>
      <c r="G43" s="44"/>
      <c r="H43" s="6"/>
      <c r="I43" s="6"/>
      <c r="J43" s="47"/>
      <c r="K43" s="15" t="s">
        <v>19</v>
      </c>
    </row>
    <row r="44" spans="2:11" ht="17.75" customHeight="1" x14ac:dyDescent="0.45">
      <c r="B44" s="135"/>
      <c r="C44" s="135" t="s">
        <v>35</v>
      </c>
      <c r="D44" s="44" t="e">
        <f>#REF!</f>
        <v>#REF!</v>
      </c>
      <c r="E44" s="44"/>
      <c r="F44" s="44"/>
      <c r="G44" s="44"/>
      <c r="H44" s="135" t="s">
        <v>37</v>
      </c>
      <c r="I44" s="15"/>
      <c r="J44" s="32"/>
      <c r="K44" s="15" t="s">
        <v>19</v>
      </c>
    </row>
    <row r="45" spans="2:11" x14ac:dyDescent="0.45">
      <c r="B45" s="135"/>
      <c r="C45" s="135"/>
      <c r="D45" s="135"/>
      <c r="E45" s="135"/>
      <c r="F45" s="7"/>
      <c r="G45" s="7"/>
      <c r="H45" s="7"/>
      <c r="I45" s="7"/>
    </row>
  </sheetData>
  <mergeCells count="4">
    <mergeCell ref="A6:J6"/>
    <mergeCell ref="A7:J7"/>
    <mergeCell ref="A3:J3"/>
    <mergeCell ref="C34:H34"/>
  </mergeCells>
  <phoneticPr fontId="4" type="noConversion"/>
  <pageMargins left="0.7" right="0.7" top="0.75" bottom="0.75" header="0.3" footer="0.3"/>
  <pageSetup paperSize="9" scale="6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B3:O88"/>
  <sheetViews>
    <sheetView zoomScale="85" zoomScaleNormal="85" workbookViewId="0">
      <selection activeCell="L80" sqref="L80"/>
    </sheetView>
  </sheetViews>
  <sheetFormatPr defaultColWidth="8.6640625" defaultRowHeight="16" x14ac:dyDescent="0.45"/>
  <cols>
    <col min="1" max="1" width="2.5" style="73" customWidth="1"/>
    <col min="2" max="2" width="20" style="73" customWidth="1"/>
    <col min="3" max="3" width="17.5" style="73" customWidth="1"/>
    <col min="4" max="4" width="17.1640625" style="72" bestFit="1" customWidth="1"/>
    <col min="5" max="5" width="17.1640625" style="72" customWidth="1"/>
    <col min="6" max="6" width="10.1640625" style="72" customWidth="1"/>
    <col min="7" max="7" width="20.6640625" style="72" customWidth="1"/>
    <col min="8" max="8" width="22.6640625" style="73" bestFit="1" customWidth="1"/>
    <col min="9" max="9" width="12.1640625" style="73" bestFit="1" customWidth="1"/>
    <col min="10" max="10" width="20.1640625" style="73" bestFit="1" customWidth="1"/>
    <col min="11" max="11" width="18.6640625" style="143" customWidth="1"/>
    <col min="12" max="12" width="13.4140625" style="73" bestFit="1" customWidth="1"/>
    <col min="13" max="13" width="15.5" style="73" bestFit="1" customWidth="1"/>
    <col min="14" max="14" width="30.9140625" style="73" bestFit="1" customWidth="1"/>
    <col min="15" max="15" width="23.6640625" style="143" bestFit="1" customWidth="1"/>
    <col min="16" max="16" width="8.6640625" style="73" customWidth="1"/>
    <col min="17" max="16384" width="8.6640625" style="73"/>
  </cols>
  <sheetData>
    <row r="3" spans="2:15" s="55" customFormat="1" x14ac:dyDescent="0.45">
      <c r="B3" s="54" t="s">
        <v>0</v>
      </c>
      <c r="C3" s="57" t="s">
        <v>781</v>
      </c>
      <c r="D3" s="57" t="s">
        <v>782</v>
      </c>
      <c r="E3" s="57"/>
      <c r="F3" s="57"/>
      <c r="G3" s="57" t="s">
        <v>783</v>
      </c>
      <c r="H3" s="54" t="s">
        <v>784</v>
      </c>
      <c r="I3" s="54" t="s">
        <v>9</v>
      </c>
      <c r="J3" s="54" t="s">
        <v>785</v>
      </c>
      <c r="K3" s="54" t="s">
        <v>11</v>
      </c>
      <c r="L3" s="54" t="s">
        <v>786</v>
      </c>
      <c r="M3" s="144" t="s">
        <v>787</v>
      </c>
      <c r="N3" s="54" t="s">
        <v>1</v>
      </c>
      <c r="O3" s="54" t="s">
        <v>788</v>
      </c>
    </row>
    <row r="4" spans="2:15" hidden="1" x14ac:dyDescent="0.45">
      <c r="B4" s="67" t="s">
        <v>789</v>
      </c>
      <c r="C4" s="68" t="s">
        <v>790</v>
      </c>
      <c r="D4" s="68" t="s">
        <v>791</v>
      </c>
      <c r="E4" s="68" t="s">
        <v>792</v>
      </c>
      <c r="F4" s="68" t="s">
        <v>793</v>
      </c>
      <c r="G4" s="68" t="str">
        <f t="shared" ref="G4:G35" si="0">E4&amp;" (\"&amp;F4&amp;")"</f>
        <v>이천만원 (\20,000,000원)</v>
      </c>
      <c r="H4" s="67" t="s">
        <v>794</v>
      </c>
      <c r="I4" s="67" t="s">
        <v>795</v>
      </c>
      <c r="J4" s="67" t="s">
        <v>796</v>
      </c>
      <c r="K4" s="71" t="s">
        <v>797</v>
      </c>
      <c r="L4" s="69" t="s">
        <v>798</v>
      </c>
      <c r="M4" s="70" t="s">
        <v>799</v>
      </c>
      <c r="N4" s="71" t="s">
        <v>800</v>
      </c>
      <c r="O4" s="71" t="s">
        <v>801</v>
      </c>
    </row>
    <row r="5" spans="2:15" hidden="1" x14ac:dyDescent="0.45">
      <c r="B5" s="67" t="s">
        <v>802</v>
      </c>
      <c r="C5" s="68" t="s">
        <v>790</v>
      </c>
      <c r="D5" s="68" t="s">
        <v>791</v>
      </c>
      <c r="E5" s="68" t="s">
        <v>792</v>
      </c>
      <c r="F5" s="68" t="s">
        <v>793</v>
      </c>
      <c r="G5" s="68" t="str">
        <f t="shared" si="0"/>
        <v>이천만원 (\20,000,000원)</v>
      </c>
      <c r="H5" s="67" t="s">
        <v>803</v>
      </c>
      <c r="I5" s="67" t="s">
        <v>804</v>
      </c>
      <c r="J5" s="67" t="s">
        <v>805</v>
      </c>
      <c r="K5" s="71" t="s">
        <v>806</v>
      </c>
      <c r="L5" s="69" t="s">
        <v>798</v>
      </c>
      <c r="M5" s="70" t="s">
        <v>799</v>
      </c>
      <c r="N5" s="71" t="s">
        <v>800</v>
      </c>
      <c r="O5" s="71" t="s">
        <v>807</v>
      </c>
    </row>
    <row r="6" spans="2:15" hidden="1" x14ac:dyDescent="0.45">
      <c r="B6" s="67" t="s">
        <v>808</v>
      </c>
      <c r="C6" s="68" t="s">
        <v>790</v>
      </c>
      <c r="D6" s="68" t="s">
        <v>791</v>
      </c>
      <c r="E6" s="68" t="s">
        <v>792</v>
      </c>
      <c r="F6" s="68" t="s">
        <v>793</v>
      </c>
      <c r="G6" s="68" t="str">
        <f t="shared" si="0"/>
        <v>이천만원 (\20,000,000원)</v>
      </c>
      <c r="H6" s="67" t="s">
        <v>809</v>
      </c>
      <c r="I6" s="67" t="s">
        <v>810</v>
      </c>
      <c r="J6" s="67" t="s">
        <v>811</v>
      </c>
      <c r="K6" s="71" t="s">
        <v>812</v>
      </c>
      <c r="L6" s="69" t="s">
        <v>798</v>
      </c>
      <c r="M6" s="70" t="s">
        <v>799</v>
      </c>
      <c r="N6" s="71" t="s">
        <v>800</v>
      </c>
      <c r="O6" s="71" t="s">
        <v>813</v>
      </c>
    </row>
    <row r="7" spans="2:15" hidden="1" x14ac:dyDescent="0.45">
      <c r="B7" s="67" t="s">
        <v>814</v>
      </c>
      <c r="C7" s="68" t="s">
        <v>790</v>
      </c>
      <c r="D7" s="68" t="s">
        <v>815</v>
      </c>
      <c r="E7" s="68" t="s">
        <v>792</v>
      </c>
      <c r="F7" s="68" t="s">
        <v>793</v>
      </c>
      <c r="G7" s="68" t="str">
        <f t="shared" si="0"/>
        <v>이천만원 (\20,000,000원)</v>
      </c>
      <c r="H7" s="67" t="s">
        <v>816</v>
      </c>
      <c r="I7" s="67" t="s">
        <v>817</v>
      </c>
      <c r="J7" s="67" t="s">
        <v>818</v>
      </c>
      <c r="K7" s="71" t="s">
        <v>819</v>
      </c>
      <c r="L7" s="69" t="s">
        <v>798</v>
      </c>
      <c r="M7" s="70" t="s">
        <v>799</v>
      </c>
      <c r="N7" s="71" t="s">
        <v>800</v>
      </c>
      <c r="O7" s="71" t="s">
        <v>820</v>
      </c>
    </row>
    <row r="8" spans="2:15" hidden="1" x14ac:dyDescent="0.45">
      <c r="B8" s="67" t="s">
        <v>821</v>
      </c>
      <c r="C8" s="68" t="s">
        <v>790</v>
      </c>
      <c r="D8" s="68" t="s">
        <v>791</v>
      </c>
      <c r="E8" s="68" t="s">
        <v>792</v>
      </c>
      <c r="F8" s="68" t="s">
        <v>793</v>
      </c>
      <c r="G8" s="68" t="str">
        <f t="shared" si="0"/>
        <v>이천만원 (\20,000,000원)</v>
      </c>
      <c r="H8" s="67" t="s">
        <v>822</v>
      </c>
      <c r="I8" s="67" t="s">
        <v>823</v>
      </c>
      <c r="J8" s="67" t="s">
        <v>824</v>
      </c>
      <c r="K8" s="71" t="s">
        <v>825</v>
      </c>
      <c r="L8" s="69" t="s">
        <v>798</v>
      </c>
      <c r="M8" s="70" t="s">
        <v>799</v>
      </c>
      <c r="N8" s="71" t="s">
        <v>800</v>
      </c>
      <c r="O8" s="71" t="s">
        <v>826</v>
      </c>
    </row>
    <row r="9" spans="2:15" hidden="1" x14ac:dyDescent="0.45">
      <c r="B9" s="67" t="s">
        <v>827</v>
      </c>
      <c r="C9" s="68" t="s">
        <v>790</v>
      </c>
      <c r="D9" s="68" t="s">
        <v>791</v>
      </c>
      <c r="E9" s="68" t="s">
        <v>792</v>
      </c>
      <c r="F9" s="68" t="s">
        <v>793</v>
      </c>
      <c r="G9" s="68" t="str">
        <f t="shared" si="0"/>
        <v>이천만원 (\20,000,000원)</v>
      </c>
      <c r="H9" s="67" t="s">
        <v>828</v>
      </c>
      <c r="I9" s="67" t="s">
        <v>829</v>
      </c>
      <c r="J9" s="67" t="s">
        <v>830</v>
      </c>
      <c r="K9" s="71" t="s">
        <v>831</v>
      </c>
      <c r="L9" s="69" t="s">
        <v>798</v>
      </c>
      <c r="M9" s="70" t="s">
        <v>799</v>
      </c>
      <c r="N9" s="71" t="s">
        <v>800</v>
      </c>
      <c r="O9" s="71" t="s">
        <v>832</v>
      </c>
    </row>
    <row r="10" spans="2:15" hidden="1" x14ac:dyDescent="0.45">
      <c r="B10" s="67" t="s">
        <v>833</v>
      </c>
      <c r="C10" s="68" t="s">
        <v>790</v>
      </c>
      <c r="D10" s="68" t="s">
        <v>791</v>
      </c>
      <c r="E10" s="68" t="s">
        <v>792</v>
      </c>
      <c r="F10" s="68" t="s">
        <v>793</v>
      </c>
      <c r="G10" s="68" t="str">
        <f t="shared" si="0"/>
        <v>이천만원 (\20,000,000원)</v>
      </c>
      <c r="H10" s="67" t="s">
        <v>834</v>
      </c>
      <c r="I10" s="67" t="s">
        <v>835</v>
      </c>
      <c r="J10" s="67" t="s">
        <v>836</v>
      </c>
      <c r="K10" s="71" t="s">
        <v>837</v>
      </c>
      <c r="L10" s="69" t="s">
        <v>798</v>
      </c>
      <c r="M10" s="70" t="s">
        <v>799</v>
      </c>
      <c r="N10" s="71" t="s">
        <v>800</v>
      </c>
      <c r="O10" s="71" t="s">
        <v>838</v>
      </c>
    </row>
    <row r="11" spans="2:15" hidden="1" x14ac:dyDescent="0.45">
      <c r="B11" s="67" t="s">
        <v>839</v>
      </c>
      <c r="C11" s="68" t="s">
        <v>790</v>
      </c>
      <c r="D11" s="68" t="s">
        <v>815</v>
      </c>
      <c r="E11" s="68" t="s">
        <v>792</v>
      </c>
      <c r="F11" s="68" t="s">
        <v>793</v>
      </c>
      <c r="G11" s="68" t="str">
        <f t="shared" si="0"/>
        <v>이천만원 (\20,000,000원)</v>
      </c>
      <c r="H11" s="67" t="s">
        <v>840</v>
      </c>
      <c r="I11" s="67" t="s">
        <v>841</v>
      </c>
      <c r="J11" s="67" t="s">
        <v>842</v>
      </c>
      <c r="K11" s="71" t="s">
        <v>843</v>
      </c>
      <c r="L11" s="69" t="s">
        <v>798</v>
      </c>
      <c r="M11" s="70" t="s">
        <v>799</v>
      </c>
      <c r="N11" s="71" t="s">
        <v>800</v>
      </c>
      <c r="O11" s="71" t="s">
        <v>844</v>
      </c>
    </row>
    <row r="12" spans="2:15" hidden="1" x14ac:dyDescent="0.45">
      <c r="B12" s="67" t="s">
        <v>845</v>
      </c>
      <c r="C12" s="68" t="s">
        <v>790</v>
      </c>
      <c r="D12" s="68" t="s">
        <v>791</v>
      </c>
      <c r="E12" s="68" t="s">
        <v>792</v>
      </c>
      <c r="F12" s="68" t="s">
        <v>793</v>
      </c>
      <c r="G12" s="68" t="str">
        <f t="shared" si="0"/>
        <v>이천만원 (\20,000,000원)</v>
      </c>
      <c r="H12" s="67" t="s">
        <v>846</v>
      </c>
      <c r="I12" s="67" t="s">
        <v>847</v>
      </c>
      <c r="J12" s="67" t="s">
        <v>848</v>
      </c>
      <c r="K12" s="71" t="s">
        <v>849</v>
      </c>
      <c r="L12" s="69" t="s">
        <v>798</v>
      </c>
      <c r="M12" s="70" t="s">
        <v>799</v>
      </c>
      <c r="N12" s="71" t="s">
        <v>800</v>
      </c>
      <c r="O12" s="71" t="s">
        <v>850</v>
      </c>
    </row>
    <row r="13" spans="2:15" hidden="1" x14ac:dyDescent="0.45">
      <c r="B13" s="67" t="s">
        <v>851</v>
      </c>
      <c r="C13" s="68" t="s">
        <v>790</v>
      </c>
      <c r="D13" s="68" t="s">
        <v>791</v>
      </c>
      <c r="E13" s="68" t="s">
        <v>792</v>
      </c>
      <c r="F13" s="68" t="s">
        <v>793</v>
      </c>
      <c r="G13" s="68" t="str">
        <f t="shared" si="0"/>
        <v>이천만원 (\20,000,000원)</v>
      </c>
      <c r="H13" s="67" t="s">
        <v>852</v>
      </c>
      <c r="I13" s="67" t="s">
        <v>853</v>
      </c>
      <c r="J13" s="67" t="s">
        <v>854</v>
      </c>
      <c r="K13" s="71" t="s">
        <v>855</v>
      </c>
      <c r="L13" s="69" t="s">
        <v>798</v>
      </c>
      <c r="M13" s="70" t="s">
        <v>799</v>
      </c>
      <c r="N13" s="71" t="s">
        <v>800</v>
      </c>
      <c r="O13" s="71" t="s">
        <v>856</v>
      </c>
    </row>
    <row r="14" spans="2:15" hidden="1" x14ac:dyDescent="0.45">
      <c r="B14" s="67" t="s">
        <v>857</v>
      </c>
      <c r="C14" s="68" t="s">
        <v>790</v>
      </c>
      <c r="D14" s="68" t="s">
        <v>815</v>
      </c>
      <c r="E14" s="68" t="s">
        <v>792</v>
      </c>
      <c r="F14" s="68" t="s">
        <v>793</v>
      </c>
      <c r="G14" s="68" t="str">
        <f t="shared" si="0"/>
        <v>이천만원 (\20,000,000원)</v>
      </c>
      <c r="H14" s="67" t="s">
        <v>858</v>
      </c>
      <c r="I14" s="67" t="s">
        <v>859</v>
      </c>
      <c r="J14" s="67" t="s">
        <v>860</v>
      </c>
      <c r="K14" s="71" t="s">
        <v>861</v>
      </c>
      <c r="L14" s="69" t="s">
        <v>798</v>
      </c>
      <c r="M14" s="70" t="s">
        <v>799</v>
      </c>
      <c r="N14" s="71" t="s">
        <v>800</v>
      </c>
      <c r="O14" s="71" t="s">
        <v>862</v>
      </c>
    </row>
    <row r="15" spans="2:15" hidden="1" x14ac:dyDescent="0.45">
      <c r="B15" s="67" t="s">
        <v>863</v>
      </c>
      <c r="C15" s="68" t="s">
        <v>790</v>
      </c>
      <c r="D15" s="68" t="s">
        <v>791</v>
      </c>
      <c r="E15" s="68" t="s">
        <v>792</v>
      </c>
      <c r="F15" s="68" t="s">
        <v>793</v>
      </c>
      <c r="G15" s="68" t="str">
        <f t="shared" si="0"/>
        <v>이천만원 (\20,000,000원)</v>
      </c>
      <c r="H15" s="67" t="s">
        <v>864</v>
      </c>
      <c r="I15" s="67" t="s">
        <v>865</v>
      </c>
      <c r="J15" s="67" t="s">
        <v>866</v>
      </c>
      <c r="K15" s="71" t="s">
        <v>867</v>
      </c>
      <c r="L15" s="69" t="s">
        <v>798</v>
      </c>
      <c r="M15" s="70" t="s">
        <v>868</v>
      </c>
      <c r="N15" s="71" t="s">
        <v>869</v>
      </c>
      <c r="O15" s="71" t="s">
        <v>870</v>
      </c>
    </row>
    <row r="16" spans="2:15" hidden="1" x14ac:dyDescent="0.45">
      <c r="B16" s="67" t="s">
        <v>871</v>
      </c>
      <c r="C16" s="68" t="s">
        <v>790</v>
      </c>
      <c r="D16" s="68" t="s">
        <v>791</v>
      </c>
      <c r="E16" s="68" t="s">
        <v>792</v>
      </c>
      <c r="F16" s="68" t="s">
        <v>793</v>
      </c>
      <c r="G16" s="68" t="str">
        <f t="shared" si="0"/>
        <v>이천만원 (\20,000,000원)</v>
      </c>
      <c r="H16" s="67" t="s">
        <v>872</v>
      </c>
      <c r="I16" s="67" t="s">
        <v>873</v>
      </c>
      <c r="J16" s="67" t="s">
        <v>874</v>
      </c>
      <c r="K16" s="71" t="s">
        <v>875</v>
      </c>
      <c r="L16" s="69" t="s">
        <v>798</v>
      </c>
      <c r="M16" s="70" t="s">
        <v>799</v>
      </c>
      <c r="N16" s="71" t="s">
        <v>800</v>
      </c>
      <c r="O16" s="71" t="s">
        <v>876</v>
      </c>
    </row>
    <row r="17" spans="2:15" hidden="1" x14ac:dyDescent="0.45">
      <c r="B17" s="67" t="s">
        <v>877</v>
      </c>
      <c r="C17" s="68" t="s">
        <v>790</v>
      </c>
      <c r="D17" s="68" t="s">
        <v>815</v>
      </c>
      <c r="E17" s="68" t="s">
        <v>792</v>
      </c>
      <c r="F17" s="68" t="s">
        <v>793</v>
      </c>
      <c r="G17" s="68" t="str">
        <f t="shared" si="0"/>
        <v>이천만원 (\20,000,000원)</v>
      </c>
      <c r="H17" s="67" t="s">
        <v>878</v>
      </c>
      <c r="I17" s="67" t="s">
        <v>879</v>
      </c>
      <c r="J17" s="67" t="s">
        <v>880</v>
      </c>
      <c r="K17" s="71" t="s">
        <v>881</v>
      </c>
      <c r="L17" s="69" t="s">
        <v>798</v>
      </c>
      <c r="M17" s="70" t="s">
        <v>799</v>
      </c>
      <c r="N17" s="71" t="s">
        <v>800</v>
      </c>
      <c r="O17" s="71" t="s">
        <v>882</v>
      </c>
    </row>
    <row r="18" spans="2:15" hidden="1" x14ac:dyDescent="0.45">
      <c r="B18" s="67" t="s">
        <v>883</v>
      </c>
      <c r="C18" s="68" t="s">
        <v>790</v>
      </c>
      <c r="D18" s="68" t="s">
        <v>791</v>
      </c>
      <c r="E18" s="68" t="s">
        <v>792</v>
      </c>
      <c r="F18" s="68" t="s">
        <v>793</v>
      </c>
      <c r="G18" s="68" t="str">
        <f t="shared" si="0"/>
        <v>이천만원 (\20,000,000원)</v>
      </c>
      <c r="H18" s="67" t="s">
        <v>884</v>
      </c>
      <c r="I18" s="67" t="s">
        <v>885</v>
      </c>
      <c r="J18" s="67" t="s">
        <v>886</v>
      </c>
      <c r="K18" s="71" t="s">
        <v>887</v>
      </c>
      <c r="L18" s="69" t="s">
        <v>798</v>
      </c>
      <c r="M18" s="70" t="s">
        <v>799</v>
      </c>
      <c r="N18" s="71" t="s">
        <v>800</v>
      </c>
      <c r="O18" s="71" t="s">
        <v>888</v>
      </c>
    </row>
    <row r="19" spans="2:15" hidden="1" x14ac:dyDescent="0.45">
      <c r="B19" s="67" t="s">
        <v>889</v>
      </c>
      <c r="C19" s="68" t="s">
        <v>790</v>
      </c>
      <c r="D19" s="68" t="s">
        <v>791</v>
      </c>
      <c r="E19" s="68" t="s">
        <v>792</v>
      </c>
      <c r="F19" s="68" t="s">
        <v>793</v>
      </c>
      <c r="G19" s="68" t="str">
        <f t="shared" si="0"/>
        <v>이천만원 (\20,000,000원)</v>
      </c>
      <c r="H19" s="67" t="s">
        <v>890</v>
      </c>
      <c r="I19" s="67" t="s">
        <v>891</v>
      </c>
      <c r="J19" s="67" t="s">
        <v>892</v>
      </c>
      <c r="K19" s="71" t="s">
        <v>893</v>
      </c>
      <c r="L19" s="69" t="s">
        <v>798</v>
      </c>
      <c r="M19" s="70" t="s">
        <v>799</v>
      </c>
      <c r="N19" s="71" t="s">
        <v>800</v>
      </c>
      <c r="O19" s="71" t="s">
        <v>894</v>
      </c>
    </row>
    <row r="20" spans="2:15" hidden="1" x14ac:dyDescent="0.45">
      <c r="B20" s="67" t="s">
        <v>895</v>
      </c>
      <c r="C20" s="68" t="s">
        <v>790</v>
      </c>
      <c r="D20" s="68" t="s">
        <v>791</v>
      </c>
      <c r="E20" s="68" t="s">
        <v>792</v>
      </c>
      <c r="F20" s="68" t="s">
        <v>793</v>
      </c>
      <c r="G20" s="68" t="str">
        <f t="shared" si="0"/>
        <v>이천만원 (\20,000,000원)</v>
      </c>
      <c r="H20" s="67" t="s">
        <v>896</v>
      </c>
      <c r="I20" s="67" t="s">
        <v>897</v>
      </c>
      <c r="J20" s="67" t="s">
        <v>898</v>
      </c>
      <c r="K20" s="71" t="s">
        <v>899</v>
      </c>
      <c r="L20" s="69" t="s">
        <v>798</v>
      </c>
      <c r="M20" s="70" t="s">
        <v>799</v>
      </c>
      <c r="N20" s="71" t="s">
        <v>800</v>
      </c>
      <c r="O20" s="71" t="s">
        <v>900</v>
      </c>
    </row>
    <row r="21" spans="2:15" hidden="1" x14ac:dyDescent="0.45">
      <c r="B21" s="67" t="s">
        <v>901</v>
      </c>
      <c r="C21" s="68" t="s">
        <v>790</v>
      </c>
      <c r="D21" s="68" t="s">
        <v>791</v>
      </c>
      <c r="E21" s="68" t="s">
        <v>792</v>
      </c>
      <c r="F21" s="68" t="s">
        <v>793</v>
      </c>
      <c r="G21" s="68" t="str">
        <f t="shared" si="0"/>
        <v>이천만원 (\20,000,000원)</v>
      </c>
      <c r="H21" s="67" t="s">
        <v>902</v>
      </c>
      <c r="I21" s="67" t="s">
        <v>903</v>
      </c>
      <c r="J21" s="67" t="s">
        <v>904</v>
      </c>
      <c r="K21" s="71" t="s">
        <v>905</v>
      </c>
      <c r="L21" s="69" t="s">
        <v>798</v>
      </c>
      <c r="M21" s="70" t="s">
        <v>799</v>
      </c>
      <c r="N21" s="71" t="s">
        <v>800</v>
      </c>
      <c r="O21" s="71" t="s">
        <v>906</v>
      </c>
    </row>
    <row r="22" spans="2:15" hidden="1" x14ac:dyDescent="0.45">
      <c r="B22" s="67" t="s">
        <v>907</v>
      </c>
      <c r="C22" s="68" t="s">
        <v>790</v>
      </c>
      <c r="D22" s="68" t="s">
        <v>791</v>
      </c>
      <c r="E22" s="68" t="s">
        <v>792</v>
      </c>
      <c r="F22" s="68" t="s">
        <v>793</v>
      </c>
      <c r="G22" s="68" t="str">
        <f t="shared" si="0"/>
        <v>이천만원 (\20,000,000원)</v>
      </c>
      <c r="H22" s="67" t="s">
        <v>908</v>
      </c>
      <c r="I22" s="67" t="s">
        <v>909</v>
      </c>
      <c r="J22" s="67" t="s">
        <v>910</v>
      </c>
      <c r="K22" s="71" t="s">
        <v>911</v>
      </c>
      <c r="L22" s="69" t="s">
        <v>798</v>
      </c>
      <c r="M22" s="70" t="s">
        <v>799</v>
      </c>
      <c r="N22" s="71" t="s">
        <v>800</v>
      </c>
      <c r="O22" s="71" t="s">
        <v>912</v>
      </c>
    </row>
    <row r="23" spans="2:15" hidden="1" x14ac:dyDescent="0.45">
      <c r="B23" s="67" t="s">
        <v>913</v>
      </c>
      <c r="C23" s="68" t="s">
        <v>790</v>
      </c>
      <c r="D23" s="68" t="s">
        <v>815</v>
      </c>
      <c r="E23" s="68" t="s">
        <v>792</v>
      </c>
      <c r="F23" s="68" t="s">
        <v>793</v>
      </c>
      <c r="G23" s="68" t="str">
        <f t="shared" si="0"/>
        <v>이천만원 (\20,000,000원)</v>
      </c>
      <c r="H23" s="67" t="s">
        <v>914</v>
      </c>
      <c r="I23" s="67" t="s">
        <v>915</v>
      </c>
      <c r="J23" s="67" t="s">
        <v>916</v>
      </c>
      <c r="K23" s="71" t="s">
        <v>917</v>
      </c>
      <c r="L23" s="69" t="s">
        <v>798</v>
      </c>
      <c r="M23" s="70" t="s">
        <v>799</v>
      </c>
      <c r="N23" s="71" t="s">
        <v>800</v>
      </c>
      <c r="O23" s="71" t="s">
        <v>918</v>
      </c>
    </row>
    <row r="24" spans="2:15" hidden="1" x14ac:dyDescent="0.45">
      <c r="B24" s="67" t="s">
        <v>919</v>
      </c>
      <c r="C24" s="68" t="s">
        <v>790</v>
      </c>
      <c r="D24" s="68" t="s">
        <v>791</v>
      </c>
      <c r="E24" s="68" t="s">
        <v>792</v>
      </c>
      <c r="F24" s="68" t="s">
        <v>793</v>
      </c>
      <c r="G24" s="68" t="str">
        <f t="shared" si="0"/>
        <v>이천만원 (\20,000,000원)</v>
      </c>
      <c r="H24" s="67" t="s">
        <v>920</v>
      </c>
      <c r="I24" s="67" t="s">
        <v>921</v>
      </c>
      <c r="J24" s="67" t="s">
        <v>922</v>
      </c>
      <c r="K24" s="71" t="s">
        <v>923</v>
      </c>
      <c r="L24" s="69" t="s">
        <v>798</v>
      </c>
      <c r="M24" s="70" t="s">
        <v>799</v>
      </c>
      <c r="N24" s="71" t="s">
        <v>800</v>
      </c>
      <c r="O24" s="71" t="s">
        <v>924</v>
      </c>
    </row>
    <row r="25" spans="2:15" hidden="1" x14ac:dyDescent="0.45">
      <c r="B25" s="67" t="s">
        <v>925</v>
      </c>
      <c r="C25" s="68" t="s">
        <v>790</v>
      </c>
      <c r="D25" s="68" t="s">
        <v>791</v>
      </c>
      <c r="E25" s="68" t="s">
        <v>792</v>
      </c>
      <c r="F25" s="68" t="s">
        <v>793</v>
      </c>
      <c r="G25" s="68" t="str">
        <f t="shared" si="0"/>
        <v>이천만원 (\20,000,000원)</v>
      </c>
      <c r="H25" s="67" t="s">
        <v>926</v>
      </c>
      <c r="I25" s="67" t="s">
        <v>927</v>
      </c>
      <c r="J25" s="67" t="s">
        <v>928</v>
      </c>
      <c r="K25" s="71" t="s">
        <v>929</v>
      </c>
      <c r="L25" s="69" t="s">
        <v>798</v>
      </c>
      <c r="M25" s="70" t="s">
        <v>799</v>
      </c>
      <c r="N25" s="71" t="s">
        <v>800</v>
      </c>
      <c r="O25" s="71" t="s">
        <v>930</v>
      </c>
    </row>
    <row r="26" spans="2:15" hidden="1" x14ac:dyDescent="0.45">
      <c r="B26" s="67" t="s">
        <v>931</v>
      </c>
      <c r="C26" s="68" t="s">
        <v>790</v>
      </c>
      <c r="D26" s="68" t="s">
        <v>791</v>
      </c>
      <c r="E26" s="68" t="s">
        <v>792</v>
      </c>
      <c r="F26" s="68" t="s">
        <v>793</v>
      </c>
      <c r="G26" s="68" t="str">
        <f t="shared" si="0"/>
        <v>이천만원 (\20,000,000원)</v>
      </c>
      <c r="H26" s="67" t="s">
        <v>932</v>
      </c>
      <c r="I26" s="67" t="s">
        <v>933</v>
      </c>
      <c r="J26" s="67" t="s">
        <v>934</v>
      </c>
      <c r="K26" s="71" t="s">
        <v>935</v>
      </c>
      <c r="L26" s="69" t="s">
        <v>798</v>
      </c>
      <c r="M26" s="70" t="s">
        <v>799</v>
      </c>
      <c r="N26" s="71" t="s">
        <v>800</v>
      </c>
      <c r="O26" s="71" t="s">
        <v>936</v>
      </c>
    </row>
    <row r="27" spans="2:15" hidden="1" x14ac:dyDescent="0.45">
      <c r="B27" s="67" t="s">
        <v>937</v>
      </c>
      <c r="C27" s="68" t="s">
        <v>790</v>
      </c>
      <c r="D27" s="68" t="s">
        <v>791</v>
      </c>
      <c r="E27" s="68" t="s">
        <v>792</v>
      </c>
      <c r="F27" s="68" t="s">
        <v>793</v>
      </c>
      <c r="G27" s="68" t="str">
        <f t="shared" si="0"/>
        <v>이천만원 (\20,000,000원)</v>
      </c>
      <c r="H27" s="67" t="s">
        <v>938</v>
      </c>
      <c r="I27" s="67" t="s">
        <v>939</v>
      </c>
      <c r="J27" s="67" t="s">
        <v>940</v>
      </c>
      <c r="K27" s="71" t="s">
        <v>941</v>
      </c>
      <c r="L27" s="69" t="s">
        <v>798</v>
      </c>
      <c r="M27" s="70" t="s">
        <v>799</v>
      </c>
      <c r="N27" s="71" t="s">
        <v>800</v>
      </c>
      <c r="O27" s="71" t="s">
        <v>942</v>
      </c>
    </row>
    <row r="28" spans="2:15" hidden="1" x14ac:dyDescent="0.45">
      <c r="B28" s="67" t="s">
        <v>943</v>
      </c>
      <c r="C28" s="68" t="s">
        <v>790</v>
      </c>
      <c r="D28" s="68" t="s">
        <v>791</v>
      </c>
      <c r="E28" s="68" t="s">
        <v>792</v>
      </c>
      <c r="F28" s="68" t="s">
        <v>793</v>
      </c>
      <c r="G28" s="68" t="str">
        <f t="shared" si="0"/>
        <v>이천만원 (\20,000,000원)</v>
      </c>
      <c r="H28" s="67" t="s">
        <v>944</v>
      </c>
      <c r="I28" s="67" t="s">
        <v>945</v>
      </c>
      <c r="J28" s="67" t="s">
        <v>946</v>
      </c>
      <c r="K28" s="71" t="s">
        <v>947</v>
      </c>
      <c r="L28" s="69" t="s">
        <v>798</v>
      </c>
      <c r="M28" s="70" t="s">
        <v>799</v>
      </c>
      <c r="N28" s="71" t="s">
        <v>800</v>
      </c>
      <c r="O28" s="71" t="s">
        <v>948</v>
      </c>
    </row>
    <row r="29" spans="2:15" hidden="1" x14ac:dyDescent="0.45">
      <c r="B29" s="67" t="s">
        <v>949</v>
      </c>
      <c r="C29" s="68" t="s">
        <v>790</v>
      </c>
      <c r="D29" s="68" t="s">
        <v>791</v>
      </c>
      <c r="E29" s="68" t="s">
        <v>792</v>
      </c>
      <c r="F29" s="68" t="s">
        <v>793</v>
      </c>
      <c r="G29" s="68" t="str">
        <f t="shared" si="0"/>
        <v>이천만원 (\20,000,000원)</v>
      </c>
      <c r="H29" s="67" t="s">
        <v>950</v>
      </c>
      <c r="I29" s="67" t="s">
        <v>951</v>
      </c>
      <c r="J29" s="67" t="s">
        <v>952</v>
      </c>
      <c r="K29" s="71" t="s">
        <v>953</v>
      </c>
      <c r="L29" s="69" t="s">
        <v>798</v>
      </c>
      <c r="M29" s="70" t="s">
        <v>799</v>
      </c>
      <c r="N29" s="71" t="s">
        <v>800</v>
      </c>
      <c r="O29" s="71" t="s">
        <v>954</v>
      </c>
    </row>
    <row r="30" spans="2:15" hidden="1" x14ac:dyDescent="0.45">
      <c r="B30" s="67" t="s">
        <v>955</v>
      </c>
      <c r="C30" s="68" t="s">
        <v>790</v>
      </c>
      <c r="D30" s="68" t="s">
        <v>791</v>
      </c>
      <c r="E30" s="68" t="s">
        <v>792</v>
      </c>
      <c r="F30" s="68" t="s">
        <v>793</v>
      </c>
      <c r="G30" s="68" t="str">
        <f t="shared" si="0"/>
        <v>이천만원 (\20,000,000원)</v>
      </c>
      <c r="H30" s="67" t="s">
        <v>956</v>
      </c>
      <c r="I30" s="67" t="s">
        <v>957</v>
      </c>
      <c r="J30" s="67" t="s">
        <v>958</v>
      </c>
      <c r="K30" s="71" t="s">
        <v>959</v>
      </c>
      <c r="L30" s="69" t="s">
        <v>798</v>
      </c>
      <c r="M30" s="70" t="s">
        <v>799</v>
      </c>
      <c r="N30" s="71" t="s">
        <v>800</v>
      </c>
      <c r="O30" s="71" t="s">
        <v>960</v>
      </c>
    </row>
    <row r="31" spans="2:15" hidden="1" x14ac:dyDescent="0.45">
      <c r="B31" s="67" t="s">
        <v>961</v>
      </c>
      <c r="C31" s="68" t="s">
        <v>790</v>
      </c>
      <c r="D31" s="68" t="s">
        <v>815</v>
      </c>
      <c r="E31" s="68" t="s">
        <v>792</v>
      </c>
      <c r="F31" s="68" t="s">
        <v>793</v>
      </c>
      <c r="G31" s="68" t="str">
        <f t="shared" si="0"/>
        <v>이천만원 (\20,000,000원)</v>
      </c>
      <c r="H31" s="67" t="s">
        <v>962</v>
      </c>
      <c r="I31" s="67" t="s">
        <v>963</v>
      </c>
      <c r="J31" s="67" t="s">
        <v>964</v>
      </c>
      <c r="K31" s="71" t="s">
        <v>965</v>
      </c>
      <c r="L31" s="69" t="s">
        <v>798</v>
      </c>
      <c r="M31" s="70" t="s">
        <v>799</v>
      </c>
      <c r="N31" s="71" t="s">
        <v>800</v>
      </c>
      <c r="O31" s="71" t="s">
        <v>966</v>
      </c>
    </row>
    <row r="32" spans="2:15" hidden="1" x14ac:dyDescent="0.45">
      <c r="B32" s="67" t="s">
        <v>967</v>
      </c>
      <c r="C32" s="68" t="s">
        <v>790</v>
      </c>
      <c r="D32" s="68" t="s">
        <v>815</v>
      </c>
      <c r="E32" s="68" t="s">
        <v>792</v>
      </c>
      <c r="F32" s="68" t="s">
        <v>793</v>
      </c>
      <c r="G32" s="68" t="str">
        <f t="shared" si="0"/>
        <v>이천만원 (\20,000,000원)</v>
      </c>
      <c r="H32" s="67" t="s">
        <v>968</v>
      </c>
      <c r="I32" s="67" t="s">
        <v>969</v>
      </c>
      <c r="J32" s="67" t="s">
        <v>970</v>
      </c>
      <c r="K32" s="71" t="s">
        <v>971</v>
      </c>
      <c r="L32" s="69" t="s">
        <v>798</v>
      </c>
      <c r="M32" s="70" t="s">
        <v>799</v>
      </c>
      <c r="N32" s="71" t="s">
        <v>800</v>
      </c>
      <c r="O32" s="71" t="s">
        <v>972</v>
      </c>
    </row>
    <row r="33" spans="2:15" hidden="1" x14ac:dyDescent="0.45">
      <c r="B33" s="67" t="s">
        <v>973</v>
      </c>
      <c r="C33" s="68" t="s">
        <v>790</v>
      </c>
      <c r="D33" s="68" t="s">
        <v>815</v>
      </c>
      <c r="E33" s="68" t="s">
        <v>792</v>
      </c>
      <c r="F33" s="68" t="s">
        <v>793</v>
      </c>
      <c r="G33" s="68" t="str">
        <f t="shared" si="0"/>
        <v>이천만원 (\20,000,000원)</v>
      </c>
      <c r="H33" s="67" t="s">
        <v>974</v>
      </c>
      <c r="I33" s="67" t="s">
        <v>975</v>
      </c>
      <c r="J33" s="67" t="s">
        <v>976</v>
      </c>
      <c r="K33" s="71" t="s">
        <v>977</v>
      </c>
      <c r="L33" s="69" t="s">
        <v>798</v>
      </c>
      <c r="M33" s="70" t="s">
        <v>799</v>
      </c>
      <c r="N33" s="71" t="s">
        <v>800</v>
      </c>
      <c r="O33" s="71" t="s">
        <v>978</v>
      </c>
    </row>
    <row r="34" spans="2:15" hidden="1" x14ac:dyDescent="0.45">
      <c r="B34" s="67" t="s">
        <v>979</v>
      </c>
      <c r="C34" s="68" t="s">
        <v>790</v>
      </c>
      <c r="D34" s="68" t="s">
        <v>815</v>
      </c>
      <c r="E34" s="68" t="s">
        <v>792</v>
      </c>
      <c r="F34" s="68" t="s">
        <v>793</v>
      </c>
      <c r="G34" s="68" t="str">
        <f t="shared" si="0"/>
        <v>이천만원 (\20,000,000원)</v>
      </c>
      <c r="H34" s="67" t="s">
        <v>980</v>
      </c>
      <c r="I34" s="67" t="s">
        <v>981</v>
      </c>
      <c r="J34" s="67" t="s">
        <v>982</v>
      </c>
      <c r="K34" s="71" t="s">
        <v>983</v>
      </c>
      <c r="L34" s="69" t="s">
        <v>798</v>
      </c>
      <c r="M34" s="70" t="s">
        <v>799</v>
      </c>
      <c r="N34" s="71" t="s">
        <v>800</v>
      </c>
      <c r="O34" s="71" t="s">
        <v>984</v>
      </c>
    </row>
    <row r="35" spans="2:15" hidden="1" x14ac:dyDescent="0.45">
      <c r="B35" s="67" t="s">
        <v>985</v>
      </c>
      <c r="C35" s="68" t="s">
        <v>790</v>
      </c>
      <c r="D35" s="68" t="s">
        <v>791</v>
      </c>
      <c r="E35" s="68" t="s">
        <v>792</v>
      </c>
      <c r="F35" s="68" t="s">
        <v>793</v>
      </c>
      <c r="G35" s="68" t="str">
        <f t="shared" si="0"/>
        <v>이천만원 (\20,000,000원)</v>
      </c>
      <c r="H35" s="67" t="s">
        <v>986</v>
      </c>
      <c r="I35" s="67" t="s">
        <v>987</v>
      </c>
      <c r="J35" s="67" t="s">
        <v>988</v>
      </c>
      <c r="K35" s="71" t="s">
        <v>989</v>
      </c>
      <c r="L35" s="69" t="s">
        <v>798</v>
      </c>
      <c r="M35" s="70" t="s">
        <v>799</v>
      </c>
      <c r="N35" s="71" t="s">
        <v>800</v>
      </c>
      <c r="O35" s="71" t="s">
        <v>990</v>
      </c>
    </row>
    <row r="36" spans="2:15" hidden="1" x14ac:dyDescent="0.45">
      <c r="B36" s="67" t="s">
        <v>991</v>
      </c>
      <c r="C36" s="68" t="s">
        <v>790</v>
      </c>
      <c r="D36" s="68" t="s">
        <v>791</v>
      </c>
      <c r="E36" s="68" t="s">
        <v>792</v>
      </c>
      <c r="F36" s="68" t="s">
        <v>793</v>
      </c>
      <c r="G36" s="68" t="str">
        <f t="shared" ref="G36:G67" si="1">E36&amp;" (\"&amp;F36&amp;")"</f>
        <v>이천만원 (\20,000,000원)</v>
      </c>
      <c r="H36" s="67" t="s">
        <v>992</v>
      </c>
      <c r="I36" s="67" t="s">
        <v>993</v>
      </c>
      <c r="J36" s="67" t="s">
        <v>994</v>
      </c>
      <c r="K36" s="71" t="s">
        <v>995</v>
      </c>
      <c r="L36" s="69" t="s">
        <v>798</v>
      </c>
      <c r="M36" s="70" t="s">
        <v>799</v>
      </c>
      <c r="N36" s="71" t="s">
        <v>800</v>
      </c>
      <c r="O36" s="71" t="s">
        <v>996</v>
      </c>
    </row>
    <row r="37" spans="2:15" hidden="1" x14ac:dyDescent="0.45">
      <c r="B37" s="67" t="s">
        <v>997</v>
      </c>
      <c r="C37" s="68" t="s">
        <v>790</v>
      </c>
      <c r="D37" s="68" t="s">
        <v>791</v>
      </c>
      <c r="E37" s="68" t="s">
        <v>792</v>
      </c>
      <c r="F37" s="68" t="s">
        <v>793</v>
      </c>
      <c r="G37" s="68" t="str">
        <f t="shared" si="1"/>
        <v>이천만원 (\20,000,000원)</v>
      </c>
      <c r="H37" s="67" t="s">
        <v>998</v>
      </c>
      <c r="I37" s="67" t="s">
        <v>999</v>
      </c>
      <c r="J37" s="67" t="s">
        <v>1000</v>
      </c>
      <c r="K37" s="71" t="s">
        <v>1001</v>
      </c>
      <c r="L37" s="69" t="s">
        <v>798</v>
      </c>
      <c r="M37" s="70" t="s">
        <v>799</v>
      </c>
      <c r="N37" s="71" t="s">
        <v>800</v>
      </c>
      <c r="O37" s="71" t="s">
        <v>1002</v>
      </c>
    </row>
    <row r="38" spans="2:15" hidden="1" x14ac:dyDescent="0.45">
      <c r="B38" s="67" t="s">
        <v>1003</v>
      </c>
      <c r="C38" s="68" t="s">
        <v>790</v>
      </c>
      <c r="D38" s="68" t="s">
        <v>815</v>
      </c>
      <c r="E38" s="68" t="s">
        <v>792</v>
      </c>
      <c r="F38" s="68" t="s">
        <v>793</v>
      </c>
      <c r="G38" s="68" t="str">
        <f t="shared" si="1"/>
        <v>이천만원 (\20,000,000원)</v>
      </c>
      <c r="H38" s="67" t="s">
        <v>1004</v>
      </c>
      <c r="I38" s="67" t="s">
        <v>1005</v>
      </c>
      <c r="J38" s="67" t="s">
        <v>1006</v>
      </c>
      <c r="K38" s="71" t="s">
        <v>1007</v>
      </c>
      <c r="L38" s="69" t="s">
        <v>798</v>
      </c>
      <c r="M38" s="70" t="s">
        <v>799</v>
      </c>
      <c r="N38" s="71" t="s">
        <v>800</v>
      </c>
      <c r="O38" s="71" t="s">
        <v>1008</v>
      </c>
    </row>
    <row r="39" spans="2:15" hidden="1" x14ac:dyDescent="0.45">
      <c r="B39" s="67" t="s">
        <v>1009</v>
      </c>
      <c r="C39" s="68" t="s">
        <v>790</v>
      </c>
      <c r="D39" s="68" t="s">
        <v>815</v>
      </c>
      <c r="E39" s="68" t="s">
        <v>792</v>
      </c>
      <c r="F39" s="68" t="s">
        <v>793</v>
      </c>
      <c r="G39" s="68" t="str">
        <f t="shared" si="1"/>
        <v>이천만원 (\20,000,000원)</v>
      </c>
      <c r="H39" s="67" t="s">
        <v>1010</v>
      </c>
      <c r="I39" s="67" t="s">
        <v>1011</v>
      </c>
      <c r="J39" s="67" t="s">
        <v>1012</v>
      </c>
      <c r="K39" s="71" t="s">
        <v>1013</v>
      </c>
      <c r="L39" s="69" t="s">
        <v>798</v>
      </c>
      <c r="M39" s="70" t="s">
        <v>799</v>
      </c>
      <c r="N39" s="71" t="s">
        <v>800</v>
      </c>
      <c r="O39" s="71" t="s">
        <v>1014</v>
      </c>
    </row>
    <row r="40" spans="2:15" hidden="1" x14ac:dyDescent="0.45">
      <c r="B40" s="67" t="s">
        <v>1015</v>
      </c>
      <c r="C40" s="68" t="s">
        <v>790</v>
      </c>
      <c r="D40" s="68" t="s">
        <v>791</v>
      </c>
      <c r="E40" s="68" t="s">
        <v>792</v>
      </c>
      <c r="F40" s="68" t="s">
        <v>793</v>
      </c>
      <c r="G40" s="68" t="str">
        <f t="shared" si="1"/>
        <v>이천만원 (\20,000,000원)</v>
      </c>
      <c r="H40" s="67" t="s">
        <v>1016</v>
      </c>
      <c r="I40" s="67" t="s">
        <v>1017</v>
      </c>
      <c r="J40" s="67" t="s">
        <v>1018</v>
      </c>
      <c r="K40" s="71" t="s">
        <v>1019</v>
      </c>
      <c r="L40" s="69" t="s">
        <v>798</v>
      </c>
      <c r="M40" s="70" t="s">
        <v>799</v>
      </c>
      <c r="N40" s="71" t="s">
        <v>800</v>
      </c>
      <c r="O40" s="71" t="s">
        <v>1020</v>
      </c>
    </row>
    <row r="41" spans="2:15" hidden="1" x14ac:dyDescent="0.45">
      <c r="B41" s="67" t="s">
        <v>1021</v>
      </c>
      <c r="C41" s="68" t="s">
        <v>790</v>
      </c>
      <c r="D41" s="68" t="s">
        <v>791</v>
      </c>
      <c r="E41" s="68" t="s">
        <v>792</v>
      </c>
      <c r="F41" s="68" t="s">
        <v>793</v>
      </c>
      <c r="G41" s="68" t="str">
        <f t="shared" si="1"/>
        <v>이천만원 (\20,000,000원)</v>
      </c>
      <c r="H41" s="67" t="s">
        <v>1022</v>
      </c>
      <c r="I41" s="67" t="s">
        <v>1023</v>
      </c>
      <c r="J41" s="67" t="s">
        <v>1024</v>
      </c>
      <c r="K41" s="71" t="s">
        <v>1025</v>
      </c>
      <c r="L41" s="69" t="s">
        <v>798</v>
      </c>
      <c r="M41" s="70" t="s">
        <v>799</v>
      </c>
      <c r="N41" s="71" t="s">
        <v>800</v>
      </c>
      <c r="O41" s="71" t="s">
        <v>1026</v>
      </c>
    </row>
    <row r="42" spans="2:15" hidden="1" x14ac:dyDescent="0.45">
      <c r="B42" s="67" t="s">
        <v>1027</v>
      </c>
      <c r="C42" s="68" t="s">
        <v>790</v>
      </c>
      <c r="D42" s="68" t="s">
        <v>791</v>
      </c>
      <c r="E42" s="68" t="s">
        <v>792</v>
      </c>
      <c r="F42" s="68" t="s">
        <v>793</v>
      </c>
      <c r="G42" s="68" t="str">
        <f t="shared" si="1"/>
        <v>이천만원 (\20,000,000원)</v>
      </c>
      <c r="H42" s="67" t="s">
        <v>1028</v>
      </c>
      <c r="I42" s="67" t="s">
        <v>1029</v>
      </c>
      <c r="J42" s="67" t="s">
        <v>1030</v>
      </c>
      <c r="K42" s="71" t="s">
        <v>1031</v>
      </c>
      <c r="L42" s="69" t="s">
        <v>798</v>
      </c>
      <c r="M42" s="70" t="s">
        <v>1032</v>
      </c>
      <c r="N42" s="71" t="s">
        <v>1033</v>
      </c>
      <c r="O42" s="71" t="s">
        <v>1034</v>
      </c>
    </row>
    <row r="43" spans="2:15" hidden="1" x14ac:dyDescent="0.45">
      <c r="B43" s="67" t="s">
        <v>1035</v>
      </c>
      <c r="C43" s="68" t="s">
        <v>790</v>
      </c>
      <c r="D43" s="68" t="s">
        <v>791</v>
      </c>
      <c r="E43" s="68" t="s">
        <v>792</v>
      </c>
      <c r="F43" s="68" t="s">
        <v>793</v>
      </c>
      <c r="G43" s="68" t="str">
        <f t="shared" si="1"/>
        <v>이천만원 (\20,000,000원)</v>
      </c>
      <c r="H43" s="67" t="s">
        <v>1036</v>
      </c>
      <c r="I43" s="67" t="s">
        <v>1037</v>
      </c>
      <c r="J43" s="67" t="s">
        <v>1038</v>
      </c>
      <c r="K43" s="71" t="s">
        <v>1039</v>
      </c>
      <c r="L43" s="69" t="s">
        <v>798</v>
      </c>
      <c r="M43" s="70" t="s">
        <v>799</v>
      </c>
      <c r="N43" s="71" t="s">
        <v>800</v>
      </c>
      <c r="O43" s="71" t="s">
        <v>1040</v>
      </c>
    </row>
    <row r="44" spans="2:15" hidden="1" x14ac:dyDescent="0.45">
      <c r="B44" s="67" t="s">
        <v>1041</v>
      </c>
      <c r="C44" s="68" t="s">
        <v>790</v>
      </c>
      <c r="D44" s="68" t="s">
        <v>791</v>
      </c>
      <c r="E44" s="68" t="s">
        <v>792</v>
      </c>
      <c r="F44" s="68" t="s">
        <v>793</v>
      </c>
      <c r="G44" s="68" t="str">
        <f t="shared" si="1"/>
        <v>이천만원 (\20,000,000원)</v>
      </c>
      <c r="H44" s="67" t="s">
        <v>1042</v>
      </c>
      <c r="I44" s="67" t="s">
        <v>1043</v>
      </c>
      <c r="J44" s="67" t="s">
        <v>1044</v>
      </c>
      <c r="K44" s="71" t="s">
        <v>1045</v>
      </c>
      <c r="L44" s="69" t="s">
        <v>798</v>
      </c>
      <c r="M44" s="70" t="s">
        <v>799</v>
      </c>
      <c r="N44" s="71" t="s">
        <v>800</v>
      </c>
      <c r="O44" s="71" t="s">
        <v>1046</v>
      </c>
    </row>
    <row r="45" spans="2:15" hidden="1" x14ac:dyDescent="0.45">
      <c r="B45" s="67" t="s">
        <v>1047</v>
      </c>
      <c r="C45" s="68" t="s">
        <v>790</v>
      </c>
      <c r="D45" s="68" t="s">
        <v>791</v>
      </c>
      <c r="E45" s="68" t="s">
        <v>792</v>
      </c>
      <c r="F45" s="68" t="s">
        <v>793</v>
      </c>
      <c r="G45" s="68" t="str">
        <f t="shared" si="1"/>
        <v>이천만원 (\20,000,000원)</v>
      </c>
      <c r="H45" s="67" t="s">
        <v>1048</v>
      </c>
      <c r="I45" s="67" t="s">
        <v>1049</v>
      </c>
      <c r="J45" s="67" t="s">
        <v>1050</v>
      </c>
      <c r="K45" s="71" t="s">
        <v>1051</v>
      </c>
      <c r="L45" s="69" t="s">
        <v>798</v>
      </c>
      <c r="M45" s="70" t="s">
        <v>799</v>
      </c>
      <c r="N45" s="71" t="s">
        <v>800</v>
      </c>
      <c r="O45" s="71" t="s">
        <v>1052</v>
      </c>
    </row>
    <row r="46" spans="2:15" hidden="1" x14ac:dyDescent="0.45">
      <c r="B46" s="67" t="s">
        <v>1053</v>
      </c>
      <c r="C46" s="68" t="s">
        <v>790</v>
      </c>
      <c r="D46" s="68" t="s">
        <v>791</v>
      </c>
      <c r="E46" s="68" t="s">
        <v>792</v>
      </c>
      <c r="F46" s="68" t="s">
        <v>793</v>
      </c>
      <c r="G46" s="68" t="str">
        <f t="shared" si="1"/>
        <v>이천만원 (\20,000,000원)</v>
      </c>
      <c r="H46" s="67" t="s">
        <v>1054</v>
      </c>
      <c r="I46" s="67" t="s">
        <v>1055</v>
      </c>
      <c r="J46" s="67" t="s">
        <v>1056</v>
      </c>
      <c r="K46" s="71" t="s">
        <v>1057</v>
      </c>
      <c r="L46" s="69" t="s">
        <v>798</v>
      </c>
      <c r="M46" s="70" t="s">
        <v>799</v>
      </c>
      <c r="N46" s="71" t="s">
        <v>800</v>
      </c>
      <c r="O46" s="71" t="s">
        <v>1058</v>
      </c>
    </row>
    <row r="47" spans="2:15" x14ac:dyDescent="0.45">
      <c r="B47" s="67" t="s">
        <v>1059</v>
      </c>
      <c r="C47" s="68" t="s">
        <v>1060</v>
      </c>
      <c r="D47" s="68" t="s">
        <v>815</v>
      </c>
      <c r="E47" s="68" t="s">
        <v>792</v>
      </c>
      <c r="F47" s="68" t="s">
        <v>793</v>
      </c>
      <c r="G47" s="68" t="str">
        <f t="shared" si="1"/>
        <v>이천만원 (\20,000,000원)</v>
      </c>
      <c r="H47" s="67" t="s">
        <v>1061</v>
      </c>
      <c r="I47" s="67" t="s">
        <v>1062</v>
      </c>
      <c r="J47" s="67" t="s">
        <v>1063</v>
      </c>
      <c r="K47" s="71" t="s">
        <v>1064</v>
      </c>
      <c r="L47" s="69" t="s">
        <v>798</v>
      </c>
      <c r="M47" s="70" t="s">
        <v>799</v>
      </c>
      <c r="N47" s="71" t="s">
        <v>800</v>
      </c>
      <c r="O47" s="71" t="s">
        <v>1065</v>
      </c>
    </row>
    <row r="48" spans="2:15" x14ac:dyDescent="0.45">
      <c r="B48" s="67" t="s">
        <v>1066</v>
      </c>
      <c r="C48" s="68" t="s">
        <v>1060</v>
      </c>
      <c r="D48" s="68" t="s">
        <v>791</v>
      </c>
      <c r="E48" s="68" t="s">
        <v>792</v>
      </c>
      <c r="F48" s="68" t="s">
        <v>793</v>
      </c>
      <c r="G48" s="68" t="str">
        <f t="shared" si="1"/>
        <v>이천만원 (\20,000,000원)</v>
      </c>
      <c r="H48" s="67" t="s">
        <v>992</v>
      </c>
      <c r="I48" s="67" t="s">
        <v>993</v>
      </c>
      <c r="J48" s="67" t="s">
        <v>994</v>
      </c>
      <c r="K48" s="71" t="s">
        <v>995</v>
      </c>
      <c r="L48" s="69" t="s">
        <v>798</v>
      </c>
      <c r="M48" s="70" t="s">
        <v>799</v>
      </c>
      <c r="N48" s="71" t="s">
        <v>800</v>
      </c>
      <c r="O48" s="71" t="s">
        <v>996</v>
      </c>
    </row>
    <row r="49" spans="2:15" x14ac:dyDescent="0.45">
      <c r="B49" s="67" t="s">
        <v>1067</v>
      </c>
      <c r="C49" s="68" t="s">
        <v>1060</v>
      </c>
      <c r="D49" s="68" t="s">
        <v>791</v>
      </c>
      <c r="E49" s="68" t="s">
        <v>792</v>
      </c>
      <c r="F49" s="68" t="s">
        <v>793</v>
      </c>
      <c r="G49" s="68" t="str">
        <f t="shared" si="1"/>
        <v>이천만원 (\20,000,000원)</v>
      </c>
      <c r="H49" s="67" t="s">
        <v>1068</v>
      </c>
      <c r="I49" s="67" t="s">
        <v>1069</v>
      </c>
      <c r="J49" s="67" t="s">
        <v>1070</v>
      </c>
      <c r="K49" s="71" t="s">
        <v>1071</v>
      </c>
      <c r="L49" s="69" t="s">
        <v>798</v>
      </c>
      <c r="M49" s="70" t="s">
        <v>799</v>
      </c>
      <c r="N49" s="71" t="s">
        <v>800</v>
      </c>
      <c r="O49" s="71" t="s">
        <v>1072</v>
      </c>
    </row>
    <row r="50" spans="2:15" x14ac:dyDescent="0.45">
      <c r="B50" s="67" t="s">
        <v>1073</v>
      </c>
      <c r="C50" s="68" t="s">
        <v>1060</v>
      </c>
      <c r="D50" s="68" t="s">
        <v>815</v>
      </c>
      <c r="E50" s="68" t="s">
        <v>792</v>
      </c>
      <c r="F50" s="68" t="s">
        <v>793</v>
      </c>
      <c r="G50" s="68" t="str">
        <f t="shared" si="1"/>
        <v>이천만원 (\20,000,000원)</v>
      </c>
      <c r="H50" s="67" t="s">
        <v>1074</v>
      </c>
      <c r="I50" s="67" t="s">
        <v>1075</v>
      </c>
      <c r="J50" s="67" t="s">
        <v>860</v>
      </c>
      <c r="K50" s="71" t="s">
        <v>1076</v>
      </c>
      <c r="L50" s="69" t="s">
        <v>1077</v>
      </c>
      <c r="M50" s="70" t="s">
        <v>799</v>
      </c>
      <c r="N50" s="71" t="s">
        <v>1078</v>
      </c>
      <c r="O50" s="71" t="s">
        <v>1079</v>
      </c>
    </row>
    <row r="51" spans="2:15" x14ac:dyDescent="0.45">
      <c r="B51" s="67" t="s">
        <v>1080</v>
      </c>
      <c r="C51" s="68" t="s">
        <v>1060</v>
      </c>
      <c r="D51" s="68" t="s">
        <v>791</v>
      </c>
      <c r="E51" s="68" t="s">
        <v>792</v>
      </c>
      <c r="F51" s="68" t="s">
        <v>793</v>
      </c>
      <c r="G51" s="68" t="str">
        <f t="shared" si="1"/>
        <v>이천만원 (\20,000,000원)</v>
      </c>
      <c r="H51" s="67" t="s">
        <v>1081</v>
      </c>
      <c r="I51" s="67" t="s">
        <v>1082</v>
      </c>
      <c r="J51" s="67" t="s">
        <v>1083</v>
      </c>
      <c r="K51" s="71" t="s">
        <v>1084</v>
      </c>
      <c r="L51" s="69" t="s">
        <v>798</v>
      </c>
      <c r="M51" s="70" t="s">
        <v>799</v>
      </c>
      <c r="N51" s="71" t="s">
        <v>800</v>
      </c>
      <c r="O51" s="71" t="s">
        <v>1085</v>
      </c>
    </row>
    <row r="52" spans="2:15" x14ac:dyDescent="0.45">
      <c r="B52" s="67" t="s">
        <v>1086</v>
      </c>
      <c r="C52" s="68" t="s">
        <v>1060</v>
      </c>
      <c r="D52" s="68" t="s">
        <v>815</v>
      </c>
      <c r="E52" s="68" t="s">
        <v>792</v>
      </c>
      <c r="F52" s="68" t="s">
        <v>793</v>
      </c>
      <c r="G52" s="68" t="str">
        <f t="shared" si="1"/>
        <v>이천만원 (\20,000,000원)</v>
      </c>
      <c r="H52" s="67" t="s">
        <v>1087</v>
      </c>
      <c r="I52" s="67" t="s">
        <v>1088</v>
      </c>
      <c r="J52" s="67" t="s">
        <v>1089</v>
      </c>
      <c r="K52" s="71" t="s">
        <v>1090</v>
      </c>
      <c r="L52" s="69" t="s">
        <v>798</v>
      </c>
      <c r="M52" s="70" t="s">
        <v>799</v>
      </c>
      <c r="N52" s="71" t="s">
        <v>800</v>
      </c>
      <c r="O52" s="71" t="s">
        <v>1091</v>
      </c>
    </row>
    <row r="53" spans="2:15" x14ac:dyDescent="0.45">
      <c r="B53" s="67" t="s">
        <v>1092</v>
      </c>
      <c r="C53" s="68" t="s">
        <v>1060</v>
      </c>
      <c r="D53" s="68" t="s">
        <v>791</v>
      </c>
      <c r="E53" s="68" t="s">
        <v>792</v>
      </c>
      <c r="F53" s="68" t="s">
        <v>793</v>
      </c>
      <c r="G53" s="68" t="str">
        <f t="shared" si="1"/>
        <v>이천만원 (\20,000,000원)</v>
      </c>
      <c r="H53" s="67" t="s">
        <v>1093</v>
      </c>
      <c r="I53" s="67" t="s">
        <v>1094</v>
      </c>
      <c r="J53" s="67" t="s">
        <v>1095</v>
      </c>
      <c r="K53" s="71" t="s">
        <v>1096</v>
      </c>
      <c r="L53" s="69" t="s">
        <v>798</v>
      </c>
      <c r="M53" s="70" t="s">
        <v>799</v>
      </c>
      <c r="N53" s="71" t="s">
        <v>800</v>
      </c>
      <c r="O53" s="71" t="s">
        <v>1097</v>
      </c>
    </row>
    <row r="54" spans="2:15" x14ac:dyDescent="0.45">
      <c r="B54" s="67" t="s">
        <v>1098</v>
      </c>
      <c r="C54" s="68" t="s">
        <v>1060</v>
      </c>
      <c r="D54" s="68" t="s">
        <v>815</v>
      </c>
      <c r="E54" s="68" t="s">
        <v>792</v>
      </c>
      <c r="F54" s="68" t="s">
        <v>793</v>
      </c>
      <c r="G54" s="68" t="str">
        <f t="shared" si="1"/>
        <v>이천만원 (\20,000,000원)</v>
      </c>
      <c r="H54" s="67" t="s">
        <v>1099</v>
      </c>
      <c r="I54" s="67" t="s">
        <v>1100</v>
      </c>
      <c r="J54" s="67" t="s">
        <v>1101</v>
      </c>
      <c r="K54" s="71" t="s">
        <v>1102</v>
      </c>
      <c r="L54" s="69" t="s">
        <v>798</v>
      </c>
      <c r="M54" s="70" t="s">
        <v>799</v>
      </c>
      <c r="N54" s="71" t="s">
        <v>800</v>
      </c>
      <c r="O54" s="71" t="s">
        <v>1103</v>
      </c>
    </row>
    <row r="55" spans="2:15" x14ac:dyDescent="0.45">
      <c r="B55" s="67" t="s">
        <v>1104</v>
      </c>
      <c r="C55" s="68" t="s">
        <v>1060</v>
      </c>
      <c r="D55" s="68" t="s">
        <v>815</v>
      </c>
      <c r="E55" s="68" t="s">
        <v>792</v>
      </c>
      <c r="F55" s="68" t="s">
        <v>793</v>
      </c>
      <c r="G55" s="68" t="str">
        <f t="shared" si="1"/>
        <v>이천만원 (\20,000,000원)</v>
      </c>
      <c r="H55" s="67" t="s">
        <v>858</v>
      </c>
      <c r="I55" s="67" t="s">
        <v>859</v>
      </c>
      <c r="J55" s="67" t="s">
        <v>860</v>
      </c>
      <c r="K55" s="71" t="s">
        <v>861</v>
      </c>
      <c r="L55" s="69" t="s">
        <v>798</v>
      </c>
      <c r="M55" s="70" t="s">
        <v>799</v>
      </c>
      <c r="N55" s="71" t="s">
        <v>800</v>
      </c>
      <c r="O55" s="71" t="s">
        <v>862</v>
      </c>
    </row>
    <row r="56" spans="2:15" x14ac:dyDescent="0.45">
      <c r="B56" s="67" t="s">
        <v>1105</v>
      </c>
      <c r="C56" s="68" t="s">
        <v>1060</v>
      </c>
      <c r="D56" s="68" t="s">
        <v>791</v>
      </c>
      <c r="E56" s="68" t="s">
        <v>792</v>
      </c>
      <c r="F56" s="68" t="s">
        <v>793</v>
      </c>
      <c r="G56" s="68" t="str">
        <f t="shared" si="1"/>
        <v>이천만원 (\20,000,000원)</v>
      </c>
      <c r="H56" s="67" t="s">
        <v>1106</v>
      </c>
      <c r="I56" s="67" t="s">
        <v>1107</v>
      </c>
      <c r="J56" s="67" t="s">
        <v>1108</v>
      </c>
      <c r="K56" s="71" t="s">
        <v>1109</v>
      </c>
      <c r="L56" s="69" t="s">
        <v>798</v>
      </c>
      <c r="M56" s="70" t="s">
        <v>799</v>
      </c>
      <c r="N56" s="71" t="s">
        <v>800</v>
      </c>
      <c r="O56" s="71" t="s">
        <v>1110</v>
      </c>
    </row>
    <row r="57" spans="2:15" x14ac:dyDescent="0.45">
      <c r="B57" s="67" t="s">
        <v>1111</v>
      </c>
      <c r="C57" s="68" t="s">
        <v>1112</v>
      </c>
      <c r="D57" s="68" t="s">
        <v>815</v>
      </c>
      <c r="E57" s="68" t="s">
        <v>792</v>
      </c>
      <c r="F57" s="68" t="s">
        <v>793</v>
      </c>
      <c r="G57" s="68" t="str">
        <f t="shared" si="1"/>
        <v>이천만원 (\20,000,000원)</v>
      </c>
      <c r="H57" s="67" t="s">
        <v>1061</v>
      </c>
      <c r="I57" s="67" t="s">
        <v>1062</v>
      </c>
      <c r="J57" s="67" t="s">
        <v>1063</v>
      </c>
      <c r="K57" s="71" t="s">
        <v>1064</v>
      </c>
      <c r="L57" s="69" t="s">
        <v>798</v>
      </c>
      <c r="M57" s="70" t="s">
        <v>1113</v>
      </c>
      <c r="N57" s="71" t="s">
        <v>1114</v>
      </c>
      <c r="O57" s="71" t="s">
        <v>1065</v>
      </c>
    </row>
    <row r="58" spans="2:15" x14ac:dyDescent="0.45">
      <c r="B58" s="67" t="s">
        <v>1115</v>
      </c>
      <c r="C58" s="68" t="s">
        <v>1112</v>
      </c>
      <c r="D58" s="68" t="s">
        <v>791</v>
      </c>
      <c r="E58" s="68" t="s">
        <v>792</v>
      </c>
      <c r="F58" s="68" t="s">
        <v>793</v>
      </c>
      <c r="G58" s="68" t="str">
        <f t="shared" si="1"/>
        <v>이천만원 (\20,000,000원)</v>
      </c>
      <c r="H58" s="67" t="s">
        <v>1116</v>
      </c>
      <c r="I58" s="67" t="s">
        <v>1117</v>
      </c>
      <c r="J58" s="67" t="s">
        <v>1118</v>
      </c>
      <c r="K58" s="71" t="s">
        <v>1119</v>
      </c>
      <c r="L58" s="69" t="s">
        <v>798</v>
      </c>
      <c r="M58" s="70" t="s">
        <v>799</v>
      </c>
      <c r="N58" s="71" t="s">
        <v>800</v>
      </c>
      <c r="O58" s="71" t="s">
        <v>1120</v>
      </c>
    </row>
    <row r="59" spans="2:15" x14ac:dyDescent="0.45">
      <c r="B59" s="67" t="s">
        <v>1121</v>
      </c>
      <c r="C59" s="68" t="s">
        <v>1112</v>
      </c>
      <c r="D59" s="68" t="s">
        <v>815</v>
      </c>
      <c r="E59" s="68" t="s">
        <v>792</v>
      </c>
      <c r="F59" s="68" t="s">
        <v>793</v>
      </c>
      <c r="G59" s="68" t="str">
        <f t="shared" si="1"/>
        <v>이천만원 (\20,000,000원)</v>
      </c>
      <c r="H59" s="67" t="s">
        <v>1122</v>
      </c>
      <c r="I59" s="67" t="s">
        <v>1123</v>
      </c>
      <c r="J59" s="67" t="s">
        <v>1124</v>
      </c>
      <c r="K59" s="71" t="s">
        <v>1125</v>
      </c>
      <c r="L59" s="69" t="s">
        <v>798</v>
      </c>
      <c r="M59" s="70" t="s">
        <v>1126</v>
      </c>
      <c r="N59" s="71" t="s">
        <v>1127</v>
      </c>
      <c r="O59" s="71" t="s">
        <v>1128</v>
      </c>
    </row>
    <row r="60" spans="2:15" x14ac:dyDescent="0.45">
      <c r="B60" s="67" t="s">
        <v>1129</v>
      </c>
      <c r="C60" s="68" t="s">
        <v>1112</v>
      </c>
      <c r="D60" s="68" t="s">
        <v>815</v>
      </c>
      <c r="E60" s="68" t="s">
        <v>792</v>
      </c>
      <c r="F60" s="68" t="s">
        <v>793</v>
      </c>
      <c r="G60" s="68" t="str">
        <f t="shared" si="1"/>
        <v>이천만원 (\20,000,000원)</v>
      </c>
      <c r="H60" s="67" t="s">
        <v>1130</v>
      </c>
      <c r="I60" s="67" t="s">
        <v>1131</v>
      </c>
      <c r="J60" s="67" t="s">
        <v>1132</v>
      </c>
      <c r="K60" s="71" t="s">
        <v>1133</v>
      </c>
      <c r="L60" s="69" t="s">
        <v>798</v>
      </c>
      <c r="M60" s="70" t="s">
        <v>799</v>
      </c>
      <c r="N60" s="71" t="s">
        <v>800</v>
      </c>
      <c r="O60" s="71" t="s">
        <v>1134</v>
      </c>
    </row>
    <row r="61" spans="2:15" x14ac:dyDescent="0.45">
      <c r="B61" s="67" t="s">
        <v>1135</v>
      </c>
      <c r="C61" s="68" t="s">
        <v>1112</v>
      </c>
      <c r="D61" s="68" t="s">
        <v>815</v>
      </c>
      <c r="E61" s="68" t="s">
        <v>792</v>
      </c>
      <c r="F61" s="68" t="s">
        <v>793</v>
      </c>
      <c r="G61" s="68" t="str">
        <f t="shared" si="1"/>
        <v>이천만원 (\20,000,000원)</v>
      </c>
      <c r="H61" s="67" t="s">
        <v>1136</v>
      </c>
      <c r="I61" s="67" t="s">
        <v>1137</v>
      </c>
      <c r="J61" s="67" t="s">
        <v>1138</v>
      </c>
      <c r="K61" s="71" t="s">
        <v>1139</v>
      </c>
      <c r="L61" s="69" t="s">
        <v>798</v>
      </c>
      <c r="M61" s="70" t="s">
        <v>1140</v>
      </c>
      <c r="N61" s="71" t="s">
        <v>1141</v>
      </c>
      <c r="O61" s="71" t="s">
        <v>1128</v>
      </c>
    </row>
    <row r="62" spans="2:15" x14ac:dyDescent="0.45">
      <c r="B62" s="67" t="s">
        <v>1142</v>
      </c>
      <c r="C62" s="68" t="s">
        <v>1112</v>
      </c>
      <c r="D62" s="68" t="s">
        <v>791</v>
      </c>
      <c r="E62" s="68" t="s">
        <v>792</v>
      </c>
      <c r="F62" s="68" t="s">
        <v>793</v>
      </c>
      <c r="G62" s="68" t="str">
        <f t="shared" si="1"/>
        <v>이천만원 (\20,000,000원)</v>
      </c>
      <c r="H62" s="67" t="s">
        <v>1028</v>
      </c>
      <c r="I62" s="67" t="s">
        <v>1029</v>
      </c>
      <c r="J62" s="67" t="s">
        <v>1030</v>
      </c>
      <c r="K62" s="71" t="s">
        <v>1031</v>
      </c>
      <c r="L62" s="69" t="s">
        <v>798</v>
      </c>
      <c r="M62" s="70" t="s">
        <v>1143</v>
      </c>
      <c r="N62" s="71" t="s">
        <v>1144</v>
      </c>
      <c r="O62" s="71" t="s">
        <v>1034</v>
      </c>
    </row>
    <row r="63" spans="2:15" x14ac:dyDescent="0.45">
      <c r="B63" s="67" t="s">
        <v>1145</v>
      </c>
      <c r="C63" s="68" t="s">
        <v>1112</v>
      </c>
      <c r="D63" s="68" t="s">
        <v>791</v>
      </c>
      <c r="E63" s="68" t="s">
        <v>792</v>
      </c>
      <c r="F63" s="68" t="s">
        <v>793</v>
      </c>
      <c r="G63" s="68" t="str">
        <f t="shared" si="1"/>
        <v>이천만원 (\20,000,000원)</v>
      </c>
      <c r="H63" s="67" t="s">
        <v>1146</v>
      </c>
      <c r="I63" s="67" t="s">
        <v>1147</v>
      </c>
      <c r="J63" s="67" t="s">
        <v>1148</v>
      </c>
      <c r="K63" s="71" t="s">
        <v>1149</v>
      </c>
      <c r="L63" s="69" t="s">
        <v>798</v>
      </c>
      <c r="M63" s="70" t="s">
        <v>1140</v>
      </c>
      <c r="N63" s="71" t="str">
        <f>L63&amp;" ~ "&amp;M63</f>
        <v>2024년 4월 1일 ~ 2024년 8월 31일</v>
      </c>
      <c r="O63" s="71" t="s">
        <v>1150</v>
      </c>
    </row>
    <row r="64" spans="2:15" x14ac:dyDescent="0.45">
      <c r="B64" s="67" t="s">
        <v>1151</v>
      </c>
      <c r="C64" s="68" t="s">
        <v>1112</v>
      </c>
      <c r="D64" s="68" t="s">
        <v>815</v>
      </c>
      <c r="E64" s="68" t="s">
        <v>792</v>
      </c>
      <c r="F64" s="68" t="s">
        <v>793</v>
      </c>
      <c r="G64" s="68" t="str">
        <f t="shared" si="1"/>
        <v>이천만원 (\20,000,000원)</v>
      </c>
      <c r="H64" s="67" t="s">
        <v>962</v>
      </c>
      <c r="I64" s="67" t="s">
        <v>963</v>
      </c>
      <c r="J64" s="67" t="s">
        <v>964</v>
      </c>
      <c r="K64" s="71" t="s">
        <v>965</v>
      </c>
      <c r="L64" s="69" t="s">
        <v>798</v>
      </c>
      <c r="M64" s="70" t="s">
        <v>1140</v>
      </c>
      <c r="N64" s="71" t="s">
        <v>1141</v>
      </c>
      <c r="O64" s="71" t="s">
        <v>966</v>
      </c>
    </row>
    <row r="65" spans="2:15" x14ac:dyDescent="0.45">
      <c r="B65" s="67" t="s">
        <v>1152</v>
      </c>
      <c r="C65" s="68" t="s">
        <v>1112</v>
      </c>
      <c r="D65" s="68" t="s">
        <v>815</v>
      </c>
      <c r="E65" s="68" t="s">
        <v>792</v>
      </c>
      <c r="F65" s="68" t="s">
        <v>793</v>
      </c>
      <c r="G65" s="68" t="str">
        <f t="shared" si="1"/>
        <v>이천만원 (\20,000,000원)</v>
      </c>
      <c r="H65" s="67" t="s">
        <v>1153</v>
      </c>
      <c r="I65" s="67" t="s">
        <v>13</v>
      </c>
      <c r="J65" s="67" t="s">
        <v>14</v>
      </c>
      <c r="K65" s="71" t="s">
        <v>1154</v>
      </c>
      <c r="L65" s="69" t="s">
        <v>798</v>
      </c>
      <c r="M65" s="70" t="s">
        <v>799</v>
      </c>
      <c r="N65" s="71" t="s">
        <v>800</v>
      </c>
      <c r="O65" s="71" t="s">
        <v>1155</v>
      </c>
    </row>
    <row r="66" spans="2:15" x14ac:dyDescent="0.45">
      <c r="B66" s="67" t="s">
        <v>1156</v>
      </c>
      <c r="C66" s="68" t="s">
        <v>1112</v>
      </c>
      <c r="D66" s="68" t="s">
        <v>791</v>
      </c>
      <c r="E66" s="68" t="s">
        <v>792</v>
      </c>
      <c r="F66" s="68" t="s">
        <v>793</v>
      </c>
      <c r="G66" s="68" t="str">
        <f t="shared" si="1"/>
        <v>이천만원 (\20,000,000원)</v>
      </c>
      <c r="H66" s="67" t="s">
        <v>1157</v>
      </c>
      <c r="I66" s="67" t="s">
        <v>1158</v>
      </c>
      <c r="J66" s="67" t="s">
        <v>1159</v>
      </c>
      <c r="K66" s="71" t="s">
        <v>1160</v>
      </c>
      <c r="L66" s="69" t="s">
        <v>798</v>
      </c>
      <c r="M66" s="70" t="s">
        <v>799</v>
      </c>
      <c r="N66" s="71" t="s">
        <v>800</v>
      </c>
      <c r="O66" s="71" t="s">
        <v>1161</v>
      </c>
    </row>
    <row r="67" spans="2:15" x14ac:dyDescent="0.45">
      <c r="B67" s="67" t="s">
        <v>1162</v>
      </c>
      <c r="C67" s="68" t="s">
        <v>1112</v>
      </c>
      <c r="D67" s="68" t="s">
        <v>791</v>
      </c>
      <c r="E67" s="68" t="s">
        <v>792</v>
      </c>
      <c r="F67" s="68" t="s">
        <v>793</v>
      </c>
      <c r="G67" s="68" t="str">
        <f t="shared" si="1"/>
        <v>이천만원 (\20,000,000원)</v>
      </c>
      <c r="H67" s="67" t="s">
        <v>1157</v>
      </c>
      <c r="I67" s="67" t="s">
        <v>1158</v>
      </c>
      <c r="J67" s="67" t="s">
        <v>1159</v>
      </c>
      <c r="K67" s="71" t="s">
        <v>1160</v>
      </c>
      <c r="L67" s="69" t="s">
        <v>798</v>
      </c>
      <c r="M67" s="70" t="s">
        <v>799</v>
      </c>
      <c r="N67" s="71" t="s">
        <v>800</v>
      </c>
      <c r="O67" s="71" t="s">
        <v>1161</v>
      </c>
    </row>
    <row r="68" spans="2:15" x14ac:dyDescent="0.45">
      <c r="B68" s="67" t="s">
        <v>1163</v>
      </c>
      <c r="C68" s="68" t="s">
        <v>1112</v>
      </c>
      <c r="D68" s="68" t="s">
        <v>791</v>
      </c>
      <c r="E68" s="68" t="s">
        <v>792</v>
      </c>
      <c r="F68" s="68" t="s">
        <v>793</v>
      </c>
      <c r="G68" s="68" t="str">
        <f t="shared" ref="G68:G99" si="2">E68&amp;" (\"&amp;F68&amp;")"</f>
        <v>이천만원 (\20,000,000원)</v>
      </c>
      <c r="H68" s="67" t="s">
        <v>1081</v>
      </c>
      <c r="I68" s="67" t="s">
        <v>1082</v>
      </c>
      <c r="J68" s="67" t="s">
        <v>1083</v>
      </c>
      <c r="K68" s="71" t="s">
        <v>1084</v>
      </c>
      <c r="L68" s="69" t="s">
        <v>798</v>
      </c>
      <c r="M68" s="70" t="s">
        <v>1164</v>
      </c>
      <c r="N68" s="71" t="s">
        <v>1165</v>
      </c>
      <c r="O68" s="71" t="s">
        <v>1085</v>
      </c>
    </row>
    <row r="69" spans="2:15" x14ac:dyDescent="0.45">
      <c r="B69" s="67" t="s">
        <v>1166</v>
      </c>
      <c r="C69" s="68" t="s">
        <v>1112</v>
      </c>
      <c r="D69" s="68" t="s">
        <v>791</v>
      </c>
      <c r="E69" s="68" t="s">
        <v>792</v>
      </c>
      <c r="F69" s="68" t="s">
        <v>793</v>
      </c>
      <c r="G69" s="68" t="str">
        <f t="shared" si="2"/>
        <v>이천만원 (\20,000,000원)</v>
      </c>
      <c r="H69" s="67" t="s">
        <v>1167</v>
      </c>
      <c r="I69" s="67" t="s">
        <v>1168</v>
      </c>
      <c r="J69" s="67" t="s">
        <v>1169</v>
      </c>
      <c r="K69" s="71" t="s">
        <v>1170</v>
      </c>
      <c r="L69" s="69" t="s">
        <v>798</v>
      </c>
      <c r="M69" s="70" t="s">
        <v>1164</v>
      </c>
      <c r="N69" s="71" t="s">
        <v>1165</v>
      </c>
      <c r="O69" s="71" t="s">
        <v>1171</v>
      </c>
    </row>
    <row r="70" spans="2:15" x14ac:dyDescent="0.45">
      <c r="B70" s="67" t="s">
        <v>1172</v>
      </c>
      <c r="C70" s="68" t="s">
        <v>1112</v>
      </c>
      <c r="D70" s="68" t="s">
        <v>815</v>
      </c>
      <c r="E70" s="68" t="s">
        <v>792</v>
      </c>
      <c r="F70" s="68" t="s">
        <v>793</v>
      </c>
      <c r="G70" s="68" t="str">
        <f t="shared" si="2"/>
        <v>이천만원 (\20,000,000원)</v>
      </c>
      <c r="H70" s="67" t="s">
        <v>1173</v>
      </c>
      <c r="I70" s="67" t="s">
        <v>1174</v>
      </c>
      <c r="J70" s="67" t="s">
        <v>1175</v>
      </c>
      <c r="K70" s="71" t="s">
        <v>1176</v>
      </c>
      <c r="L70" s="69" t="s">
        <v>798</v>
      </c>
      <c r="M70" s="70" t="s">
        <v>799</v>
      </c>
      <c r="N70" s="71" t="s">
        <v>800</v>
      </c>
      <c r="O70" s="71" t="s">
        <v>972</v>
      </c>
    </row>
    <row r="74" spans="2:15" ht="17.399999999999999" customHeight="1" x14ac:dyDescent="0.45">
      <c r="C74" s="114"/>
    </row>
    <row r="80" spans="2:15" ht="17.399999999999999" customHeight="1" x14ac:dyDescent="0.45">
      <c r="C80" s="114"/>
    </row>
    <row r="86" spans="7:8" ht="17.399999999999999" customHeight="1" x14ac:dyDescent="0.45">
      <c r="G86" s="114"/>
    </row>
    <row r="88" spans="7:8" ht="17.399999999999999" customHeight="1" x14ac:dyDescent="0.45">
      <c r="H88" s="114"/>
    </row>
  </sheetData>
  <autoFilter ref="B3:O70" xr:uid="{00000000-0009-0000-0000-00000A000000}">
    <filterColumn colId="1">
      <filters>
        <filter val="투자형 B-Shop (로드)"/>
        <filter val="투자형 B-Shop (입점)"/>
      </filters>
    </filterColumn>
    <sortState ref="B4:O70">
      <sortCondition ref="C3:C70"/>
    </sortState>
  </autoFilter>
  <phoneticPr fontId="4" type="noConversion"/>
  <hyperlinks>
    <hyperlink ref="O11" r:id="rId1" xr:uid="{00000000-0004-0000-0A00-000000000000}"/>
    <hyperlink ref="O22" r:id="rId2" xr:uid="{00000000-0004-0000-0A00-000001000000}"/>
  </hyperlink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M80"/>
  <sheetViews>
    <sheetView zoomScale="85" zoomScaleNormal="85" workbookViewId="0">
      <pane xSplit="3" ySplit="1" topLeftCell="D2" activePane="bottomRight" state="frozen"/>
      <selection activeCell="L80" sqref="L80"/>
      <selection pane="topRight" activeCell="L80" sqref="L80"/>
      <selection pane="bottomLeft" activeCell="L80" sqref="L80"/>
      <selection pane="bottomRight" activeCell="L80" sqref="L80"/>
    </sheetView>
  </sheetViews>
  <sheetFormatPr defaultRowHeight="17" x14ac:dyDescent="0.45"/>
  <cols>
    <col min="2" max="2" width="20.4140625" style="137" bestFit="1" customWidth="1"/>
    <col min="3" max="3" width="20.4140625" style="137" customWidth="1"/>
    <col min="4" max="4" width="19.4140625" style="137" bestFit="1" customWidth="1"/>
    <col min="5" max="5" width="16.1640625" style="137" customWidth="1"/>
    <col min="6" max="6" width="19.4140625" style="137" bestFit="1" customWidth="1"/>
    <col min="7" max="7" width="30.83203125" style="137" customWidth="1"/>
    <col min="10" max="10" width="26.08203125" style="137" customWidth="1"/>
    <col min="11" max="11" width="15.1640625" style="137" bestFit="1" customWidth="1"/>
    <col min="12" max="12" width="10.4140625" style="137" bestFit="1" customWidth="1"/>
    <col min="13" max="13" width="6.83203125" style="137" customWidth="1"/>
  </cols>
  <sheetData>
    <row r="1" spans="2:11" x14ac:dyDescent="0.45">
      <c r="B1" s="114" t="s">
        <v>1177</v>
      </c>
      <c r="C1" s="114" t="s">
        <v>1178</v>
      </c>
      <c r="D1" s="114" t="s">
        <v>1179</v>
      </c>
      <c r="E1" s="114" t="s">
        <v>1180</v>
      </c>
      <c r="F1" s="114" t="s">
        <v>1181</v>
      </c>
      <c r="G1" s="114" t="s">
        <v>1182</v>
      </c>
      <c r="H1" s="114" t="s">
        <v>1183</v>
      </c>
    </row>
    <row r="2" spans="2:11" x14ac:dyDescent="0.45">
      <c r="B2" s="86" t="s">
        <v>1080</v>
      </c>
      <c r="C2" s="86" t="s">
        <v>1184</v>
      </c>
      <c r="D2" s="86" t="str">
        <f>VLOOKUP(B2,계약체결용!$B:$C,2,0)</f>
        <v>투자형 B-Shop (로드)</v>
      </c>
      <c r="E2" s="86"/>
      <c r="F2" s="86" t="str">
        <f>D2</f>
        <v>투자형 B-Shop (로드)</v>
      </c>
      <c r="G2" s="86"/>
      <c r="H2" s="86"/>
      <c r="J2" s="83" t="s">
        <v>1185</v>
      </c>
      <c r="K2" s="114" t="s">
        <v>1186</v>
      </c>
    </row>
    <row r="3" spans="2:11" x14ac:dyDescent="0.45">
      <c r="B3" s="86" t="s">
        <v>1187</v>
      </c>
      <c r="C3" s="86" t="s">
        <v>1184</v>
      </c>
      <c r="D3" s="86" t="e">
        <f>VLOOKUP(B3,계약체결용!$B:$C,2,0)</f>
        <v>#N/A</v>
      </c>
      <c r="E3" s="86" t="s">
        <v>1188</v>
      </c>
      <c r="F3" s="86" t="s">
        <v>1189</v>
      </c>
      <c r="G3" s="86" t="s">
        <v>1190</v>
      </c>
      <c r="H3" s="86"/>
      <c r="J3" s="84" t="s">
        <v>1184</v>
      </c>
      <c r="K3" s="114">
        <v>7</v>
      </c>
    </row>
    <row r="4" spans="2:11" x14ac:dyDescent="0.45">
      <c r="B4" s="86" t="s">
        <v>1142</v>
      </c>
      <c r="C4" s="86" t="s">
        <v>1184</v>
      </c>
      <c r="D4" s="86" t="str">
        <f>VLOOKUP(B4,계약체결용!$B:$C,2,0)</f>
        <v>투자형 B-Shop (입점)</v>
      </c>
      <c r="E4" s="86" t="s">
        <v>1191</v>
      </c>
      <c r="F4" s="86" t="s">
        <v>1189</v>
      </c>
      <c r="G4" s="86" t="s">
        <v>1190</v>
      </c>
      <c r="H4" s="86"/>
      <c r="J4" s="85" t="s">
        <v>1080</v>
      </c>
      <c r="K4" s="114"/>
    </row>
    <row r="5" spans="2:11" x14ac:dyDescent="0.45">
      <c r="B5" s="86" t="s">
        <v>883</v>
      </c>
      <c r="C5" s="86" t="s">
        <v>1184</v>
      </c>
      <c r="D5" s="86" t="str">
        <f>VLOOKUP(B5,계약체결용!$B:$C,2,0)</f>
        <v>B/S-Shop</v>
      </c>
      <c r="E5" s="86"/>
      <c r="F5" s="86" t="str">
        <f>D5</f>
        <v>B/S-Shop</v>
      </c>
      <c r="G5" s="86"/>
      <c r="H5" s="86" t="s">
        <v>1192</v>
      </c>
      <c r="J5" s="85" t="s">
        <v>1187</v>
      </c>
      <c r="K5" s="114"/>
    </row>
    <row r="6" spans="2:11" x14ac:dyDescent="0.45">
      <c r="B6" s="86" t="s">
        <v>889</v>
      </c>
      <c r="C6" s="86" t="s">
        <v>1184</v>
      </c>
      <c r="D6" s="86" t="str">
        <f>VLOOKUP(B6,계약체결용!$B:$C,2,0)</f>
        <v>B/S-Shop</v>
      </c>
      <c r="E6" s="86"/>
      <c r="F6" s="86" t="str">
        <f>D6</f>
        <v>B/S-Shop</v>
      </c>
      <c r="G6" s="86"/>
      <c r="H6" s="86" t="s">
        <v>1192</v>
      </c>
      <c r="J6" s="85" t="s">
        <v>1142</v>
      </c>
      <c r="K6" s="114"/>
    </row>
    <row r="7" spans="2:11" x14ac:dyDescent="0.45">
      <c r="B7" s="86" t="s">
        <v>895</v>
      </c>
      <c r="C7" s="86" t="s">
        <v>1184</v>
      </c>
      <c r="D7" s="86" t="str">
        <f>VLOOKUP(B7,계약체결용!$B:$C,2,0)</f>
        <v>B/S-Shop</v>
      </c>
      <c r="E7" s="86"/>
      <c r="F7" s="86" t="str">
        <f>D7</f>
        <v>B/S-Shop</v>
      </c>
      <c r="G7" s="86"/>
      <c r="H7" s="86" t="s">
        <v>1192</v>
      </c>
      <c r="J7" s="85" t="s">
        <v>883</v>
      </c>
      <c r="K7" s="114">
        <v>1</v>
      </c>
    </row>
    <row r="8" spans="2:11" x14ac:dyDescent="0.45">
      <c r="B8" s="86" t="s">
        <v>1193</v>
      </c>
      <c r="C8" s="86" t="s">
        <v>1184</v>
      </c>
      <c r="D8" s="86" t="e">
        <f>VLOOKUP(B8,계약체결용!$B:$C,2,0)</f>
        <v>#N/A</v>
      </c>
      <c r="E8" s="86" t="s">
        <v>1194</v>
      </c>
      <c r="F8" s="86" t="s">
        <v>1112</v>
      </c>
      <c r="G8" s="86" t="s">
        <v>1190</v>
      </c>
      <c r="H8" s="86"/>
      <c r="J8" s="85" t="s">
        <v>889</v>
      </c>
      <c r="K8" s="114">
        <v>1</v>
      </c>
    </row>
    <row r="9" spans="2:11" x14ac:dyDescent="0.45">
      <c r="B9" s="86" t="s">
        <v>997</v>
      </c>
      <c r="C9" s="86" t="s">
        <v>1184</v>
      </c>
      <c r="D9" s="86" t="str">
        <f>VLOOKUP(B9,계약체결용!$B:$C,2,0)</f>
        <v>B/S-Shop</v>
      </c>
      <c r="E9" s="86"/>
      <c r="F9" s="86" t="str">
        <f t="shared" ref="F9:F27" si="0">D9</f>
        <v>B/S-Shop</v>
      </c>
      <c r="G9" s="86"/>
      <c r="H9" s="86" t="s">
        <v>1192</v>
      </c>
      <c r="J9" s="85" t="s">
        <v>895</v>
      </c>
      <c r="K9" s="114">
        <v>1</v>
      </c>
    </row>
    <row r="10" spans="2:11" x14ac:dyDescent="0.45">
      <c r="B10" s="86" t="s">
        <v>1105</v>
      </c>
      <c r="C10" s="86" t="s">
        <v>1184</v>
      </c>
      <c r="D10" s="86" t="str">
        <f>VLOOKUP(B10,계약체결용!$B:$C,2,0)</f>
        <v>투자형 B-Shop (로드)</v>
      </c>
      <c r="E10" s="86"/>
      <c r="F10" s="86" t="str">
        <f t="shared" si="0"/>
        <v>투자형 B-Shop (로드)</v>
      </c>
      <c r="G10" s="86"/>
      <c r="H10" s="86" t="s">
        <v>1192</v>
      </c>
      <c r="J10" s="85" t="s">
        <v>1193</v>
      </c>
      <c r="K10" s="114"/>
    </row>
    <row r="11" spans="2:11" x14ac:dyDescent="0.45">
      <c r="B11" s="86" t="s">
        <v>1003</v>
      </c>
      <c r="C11" s="86" t="s">
        <v>1184</v>
      </c>
      <c r="D11" s="86" t="str">
        <f>VLOOKUP(B11,계약체결용!$B:$C,2,0)</f>
        <v>B/S-Shop</v>
      </c>
      <c r="E11" s="86"/>
      <c r="F11" s="86" t="str">
        <f t="shared" si="0"/>
        <v>B/S-Shop</v>
      </c>
      <c r="G11" s="86"/>
      <c r="H11" s="86" t="s">
        <v>1192</v>
      </c>
      <c r="J11" s="85" t="s">
        <v>997</v>
      </c>
      <c r="K11" s="114">
        <v>1</v>
      </c>
    </row>
    <row r="12" spans="2:11" x14ac:dyDescent="0.45">
      <c r="B12" s="86" t="s">
        <v>1009</v>
      </c>
      <c r="C12" s="86" t="s">
        <v>1184</v>
      </c>
      <c r="D12" s="86" t="str">
        <f>VLOOKUP(B12,계약체결용!$B:$C,2,0)</f>
        <v>B/S-Shop</v>
      </c>
      <c r="E12" s="86"/>
      <c r="F12" s="86" t="str">
        <f t="shared" si="0"/>
        <v>B/S-Shop</v>
      </c>
      <c r="G12" s="86"/>
      <c r="H12" s="86"/>
      <c r="J12" s="85" t="s">
        <v>1105</v>
      </c>
      <c r="K12" s="114">
        <v>1</v>
      </c>
    </row>
    <row r="13" spans="2:11" x14ac:dyDescent="0.45">
      <c r="B13" s="86" t="s">
        <v>1015</v>
      </c>
      <c r="C13" s="86" t="s">
        <v>1184</v>
      </c>
      <c r="D13" s="86" t="str">
        <f>VLOOKUP(B13,계약체결용!$B:$C,2,0)</f>
        <v>B/S-Shop</v>
      </c>
      <c r="E13" s="86"/>
      <c r="F13" s="86" t="str">
        <f t="shared" si="0"/>
        <v>B/S-Shop</v>
      </c>
      <c r="G13" s="86"/>
      <c r="H13" s="86" t="s">
        <v>1192</v>
      </c>
      <c r="J13" s="85" t="s">
        <v>1003</v>
      </c>
      <c r="K13" s="114">
        <v>1</v>
      </c>
    </row>
    <row r="14" spans="2:11" x14ac:dyDescent="0.45">
      <c r="B14" s="89" t="s">
        <v>808</v>
      </c>
      <c r="C14" s="89" t="s">
        <v>1195</v>
      </c>
      <c r="D14" s="89" t="str">
        <f>VLOOKUP(B14,계약체결용!$B:$C,2,0)</f>
        <v>B/S-Shop</v>
      </c>
      <c r="E14" s="89"/>
      <c r="F14" s="89" t="str">
        <f t="shared" si="0"/>
        <v>B/S-Shop</v>
      </c>
      <c r="G14" s="89"/>
      <c r="H14" s="89" t="s">
        <v>1192</v>
      </c>
      <c r="J14" s="85" t="s">
        <v>1009</v>
      </c>
      <c r="K14" s="114"/>
    </row>
    <row r="15" spans="2:11" x14ac:dyDescent="0.45">
      <c r="B15" s="89" t="s">
        <v>821</v>
      </c>
      <c r="C15" s="89" t="s">
        <v>1195</v>
      </c>
      <c r="D15" s="89" t="str">
        <f>VLOOKUP(B15,계약체결용!$B:$C,2,0)</f>
        <v>B/S-Shop</v>
      </c>
      <c r="E15" s="89"/>
      <c r="F15" s="89" t="str">
        <f t="shared" si="0"/>
        <v>B/S-Shop</v>
      </c>
      <c r="G15" s="89"/>
      <c r="H15" s="89" t="s">
        <v>1192</v>
      </c>
      <c r="J15" s="85" t="s">
        <v>1015</v>
      </c>
      <c r="K15" s="114">
        <v>1</v>
      </c>
    </row>
    <row r="16" spans="2:11" x14ac:dyDescent="0.45">
      <c r="B16" s="89" t="s">
        <v>839</v>
      </c>
      <c r="C16" s="89" t="s">
        <v>1195</v>
      </c>
      <c r="D16" s="89" t="str">
        <f>VLOOKUP(B16,계약체결용!$B:$C,2,0)</f>
        <v>B/S-Shop</v>
      </c>
      <c r="E16" s="89"/>
      <c r="F16" s="89" t="str">
        <f t="shared" si="0"/>
        <v>B/S-Shop</v>
      </c>
      <c r="G16" s="89"/>
      <c r="H16" s="89" t="s">
        <v>1192</v>
      </c>
      <c r="J16" s="84" t="s">
        <v>1195</v>
      </c>
      <c r="K16" s="114">
        <v>8</v>
      </c>
    </row>
    <row r="17" spans="2:11" x14ac:dyDescent="0.45">
      <c r="B17" s="89" t="s">
        <v>901</v>
      </c>
      <c r="C17" s="89" t="s">
        <v>1195</v>
      </c>
      <c r="D17" s="89" t="str">
        <f>VLOOKUP(B17,계약체결용!$B:$C,2,0)</f>
        <v>B/S-Shop</v>
      </c>
      <c r="E17" s="89"/>
      <c r="F17" s="89" t="str">
        <f t="shared" si="0"/>
        <v>B/S-Shop</v>
      </c>
      <c r="G17" s="89"/>
      <c r="H17" s="89" t="s">
        <v>1192</v>
      </c>
      <c r="J17" s="85" t="s">
        <v>808</v>
      </c>
      <c r="K17" s="114">
        <v>1</v>
      </c>
    </row>
    <row r="18" spans="2:11" x14ac:dyDescent="0.45">
      <c r="B18" s="89" t="s">
        <v>1152</v>
      </c>
      <c r="C18" s="89" t="s">
        <v>1195</v>
      </c>
      <c r="D18" s="89" t="str">
        <f>VLOOKUP(B18,계약체결용!$B:$C,2,0)</f>
        <v>투자형 B-Shop (입점)</v>
      </c>
      <c r="E18" s="89"/>
      <c r="F18" s="89" t="str">
        <f t="shared" si="0"/>
        <v>투자형 B-Shop (입점)</v>
      </c>
      <c r="G18" s="89"/>
      <c r="H18" s="89" t="s">
        <v>1192</v>
      </c>
      <c r="J18" s="85" t="s">
        <v>821</v>
      </c>
      <c r="K18" s="114">
        <v>1</v>
      </c>
    </row>
    <row r="19" spans="2:11" x14ac:dyDescent="0.45">
      <c r="B19" s="89" t="s">
        <v>1172</v>
      </c>
      <c r="C19" s="89" t="s">
        <v>1195</v>
      </c>
      <c r="D19" s="89" t="str">
        <f>VLOOKUP(B19,계약체결용!$B:$C,2,0)</f>
        <v>투자형 B-Shop (입점)</v>
      </c>
      <c r="E19" s="89"/>
      <c r="F19" s="89" t="str">
        <f t="shared" si="0"/>
        <v>투자형 B-Shop (입점)</v>
      </c>
      <c r="G19" s="89" t="s">
        <v>1190</v>
      </c>
      <c r="H19" s="89"/>
      <c r="J19" s="85" t="s">
        <v>839</v>
      </c>
      <c r="K19" s="114">
        <v>1</v>
      </c>
    </row>
    <row r="20" spans="2:11" x14ac:dyDescent="0.45">
      <c r="B20" s="89" t="s">
        <v>919</v>
      </c>
      <c r="C20" s="89" t="s">
        <v>1195</v>
      </c>
      <c r="D20" s="89" t="str">
        <f>VLOOKUP(B20,계약체결용!$B:$C,2,0)</f>
        <v>B/S-Shop</v>
      </c>
      <c r="E20" s="89"/>
      <c r="F20" s="89" t="str">
        <f t="shared" si="0"/>
        <v>B/S-Shop</v>
      </c>
      <c r="G20" s="89"/>
      <c r="H20" s="89" t="s">
        <v>1192</v>
      </c>
      <c r="J20" s="85" t="s">
        <v>901</v>
      </c>
      <c r="K20" s="114">
        <v>1</v>
      </c>
    </row>
    <row r="21" spans="2:11" x14ac:dyDescent="0.45">
      <c r="B21" s="89" t="s">
        <v>967</v>
      </c>
      <c r="C21" s="89" t="s">
        <v>1195</v>
      </c>
      <c r="D21" s="89" t="str">
        <f>VLOOKUP(B21,계약체결용!$B:$C,2,0)</f>
        <v>B/S-Shop</v>
      </c>
      <c r="E21" s="89"/>
      <c r="F21" s="89" t="str">
        <f t="shared" si="0"/>
        <v>B/S-Shop</v>
      </c>
      <c r="G21" s="89"/>
      <c r="H21" s="89"/>
      <c r="J21" s="85" t="s">
        <v>1152</v>
      </c>
      <c r="K21" s="114">
        <v>1</v>
      </c>
    </row>
    <row r="22" spans="2:11" x14ac:dyDescent="0.45">
      <c r="B22" s="89" t="s">
        <v>1027</v>
      </c>
      <c r="C22" s="89" t="s">
        <v>1195</v>
      </c>
      <c r="D22" s="89" t="str">
        <f>VLOOKUP(B22,계약체결용!$B:$C,2,0)</f>
        <v>B/S-Shop</v>
      </c>
      <c r="E22" s="89"/>
      <c r="F22" s="89" t="str">
        <f t="shared" si="0"/>
        <v>B/S-Shop</v>
      </c>
      <c r="G22" s="89"/>
      <c r="H22" s="89"/>
      <c r="J22" s="85" t="s">
        <v>1172</v>
      </c>
      <c r="K22" s="114"/>
    </row>
    <row r="23" spans="2:11" x14ac:dyDescent="0.45">
      <c r="B23" s="89" t="s">
        <v>1041</v>
      </c>
      <c r="C23" s="89" t="s">
        <v>1195</v>
      </c>
      <c r="D23" s="89" t="str">
        <f>VLOOKUP(B23,계약체결용!$B:$C,2,0)</f>
        <v>B/S-Shop</v>
      </c>
      <c r="E23" s="89"/>
      <c r="F23" s="89" t="str">
        <f t="shared" si="0"/>
        <v>B/S-Shop</v>
      </c>
      <c r="G23" s="89"/>
      <c r="H23" s="89" t="s">
        <v>1192</v>
      </c>
      <c r="J23" s="85" t="s">
        <v>919</v>
      </c>
      <c r="K23" s="114">
        <v>1</v>
      </c>
    </row>
    <row r="24" spans="2:11" x14ac:dyDescent="0.45">
      <c r="B24" s="89" t="s">
        <v>1047</v>
      </c>
      <c r="C24" s="89" t="s">
        <v>1195</v>
      </c>
      <c r="D24" s="89" t="str">
        <f>VLOOKUP(B24,계약체결용!$B:$C,2,0)</f>
        <v>B/S-Shop</v>
      </c>
      <c r="E24" s="89"/>
      <c r="F24" s="89" t="str">
        <f t="shared" si="0"/>
        <v>B/S-Shop</v>
      </c>
      <c r="G24" s="89"/>
      <c r="H24" s="89" t="s">
        <v>1192</v>
      </c>
      <c r="J24" s="85" t="s">
        <v>967</v>
      </c>
      <c r="K24" s="114"/>
    </row>
    <row r="25" spans="2:11" x14ac:dyDescent="0.45">
      <c r="B25" s="90" t="s">
        <v>1059</v>
      </c>
      <c r="C25" s="90" t="s">
        <v>1196</v>
      </c>
      <c r="D25" s="90" t="str">
        <f>VLOOKUP(B25,계약체결용!$B:$C,2,0)</f>
        <v>투자형 B-Shop (로드)</v>
      </c>
      <c r="E25" s="90"/>
      <c r="F25" s="90" t="str">
        <f t="shared" si="0"/>
        <v>투자형 B-Shop (로드)</v>
      </c>
      <c r="G25" s="90" t="s">
        <v>1190</v>
      </c>
      <c r="H25" s="90" t="s">
        <v>1192</v>
      </c>
      <c r="J25" s="85" t="s">
        <v>1027</v>
      </c>
      <c r="K25" s="114"/>
    </row>
    <row r="26" spans="2:11" x14ac:dyDescent="0.45">
      <c r="B26" s="90" t="s">
        <v>814</v>
      </c>
      <c r="C26" s="90" t="s">
        <v>1196</v>
      </c>
      <c r="D26" s="90" t="str">
        <f>VLOOKUP(B26,계약체결용!$B:$C,2,0)</f>
        <v>B/S-Shop</v>
      </c>
      <c r="E26" s="90"/>
      <c r="F26" s="90" t="str">
        <f t="shared" si="0"/>
        <v>B/S-Shop</v>
      </c>
      <c r="G26" s="90"/>
      <c r="H26" s="90" t="s">
        <v>1192</v>
      </c>
      <c r="J26" s="85" t="s">
        <v>1041</v>
      </c>
      <c r="K26" s="114">
        <v>1</v>
      </c>
    </row>
    <row r="27" spans="2:11" x14ac:dyDescent="0.45">
      <c r="B27" s="90" t="s">
        <v>827</v>
      </c>
      <c r="C27" s="90" t="s">
        <v>1196</v>
      </c>
      <c r="D27" s="90" t="str">
        <f>VLOOKUP(B27,계약체결용!$B:$C,2,0)</f>
        <v>B/S-Shop</v>
      </c>
      <c r="E27" s="90"/>
      <c r="F27" s="90" t="str">
        <f t="shared" si="0"/>
        <v>B/S-Shop</v>
      </c>
      <c r="G27" s="90"/>
      <c r="H27" s="90" t="s">
        <v>1192</v>
      </c>
      <c r="J27" s="85" t="s">
        <v>1047</v>
      </c>
      <c r="K27" s="114">
        <v>1</v>
      </c>
    </row>
    <row r="28" spans="2:11" x14ac:dyDescent="0.45">
      <c r="B28" s="90" t="s">
        <v>1197</v>
      </c>
      <c r="C28" s="90" t="s">
        <v>1196</v>
      </c>
      <c r="D28" s="90" t="e">
        <f>VLOOKUP(B28,계약체결용!$B:$C,2,0)</f>
        <v>#N/A</v>
      </c>
      <c r="E28" s="90" t="s">
        <v>1188</v>
      </c>
      <c r="F28" s="90" t="s">
        <v>1189</v>
      </c>
      <c r="G28" s="90" t="s">
        <v>1190</v>
      </c>
      <c r="H28" s="90" t="s">
        <v>1192</v>
      </c>
      <c r="J28" s="84" t="s">
        <v>1196</v>
      </c>
      <c r="K28" s="114">
        <v>10</v>
      </c>
    </row>
    <row r="29" spans="2:11" x14ac:dyDescent="0.45">
      <c r="B29" s="90" t="s">
        <v>1198</v>
      </c>
      <c r="C29" s="90" t="s">
        <v>1196</v>
      </c>
      <c r="D29" s="90" t="e">
        <f>VLOOKUP(B29,계약체결용!$B:$C,2,0)</f>
        <v>#N/A</v>
      </c>
      <c r="E29" s="90" t="s">
        <v>1188</v>
      </c>
      <c r="F29" s="90" t="s">
        <v>1189</v>
      </c>
      <c r="G29" s="90" t="s">
        <v>1190</v>
      </c>
      <c r="H29" s="90" t="s">
        <v>1192</v>
      </c>
      <c r="J29" s="85" t="s">
        <v>1059</v>
      </c>
      <c r="K29" s="114">
        <v>1</v>
      </c>
    </row>
    <row r="30" spans="2:11" x14ac:dyDescent="0.45">
      <c r="B30" s="90" t="s">
        <v>863</v>
      </c>
      <c r="C30" s="90" t="s">
        <v>1196</v>
      </c>
      <c r="D30" s="90" t="str">
        <f>VLOOKUP(B30,계약체결용!$B:$C,2,0)</f>
        <v>B/S-Shop</v>
      </c>
      <c r="E30" s="90"/>
      <c r="F30" s="90" t="str">
        <f>D30</f>
        <v>B/S-Shop</v>
      </c>
      <c r="G30" s="90"/>
      <c r="H30" s="90" t="s">
        <v>1192</v>
      </c>
      <c r="J30" s="85" t="s">
        <v>814</v>
      </c>
      <c r="K30" s="114">
        <v>1</v>
      </c>
    </row>
    <row r="31" spans="2:11" x14ac:dyDescent="0.45">
      <c r="B31" s="90" t="s">
        <v>1151</v>
      </c>
      <c r="C31" s="90" t="s">
        <v>1196</v>
      </c>
      <c r="D31" s="90" t="str">
        <f>VLOOKUP(B31,계약체결용!$B:$C,2,0)</f>
        <v>투자형 B-Shop (입점)</v>
      </c>
      <c r="E31" s="90"/>
      <c r="F31" s="90" t="str">
        <f>D31</f>
        <v>투자형 B-Shop (입점)</v>
      </c>
      <c r="G31" s="90" t="s">
        <v>1190</v>
      </c>
      <c r="H31" s="90" t="s">
        <v>1192</v>
      </c>
      <c r="J31" s="85" t="s">
        <v>827</v>
      </c>
      <c r="K31" s="114">
        <v>1</v>
      </c>
    </row>
    <row r="32" spans="2:11" x14ac:dyDescent="0.45">
      <c r="B32" s="90" t="s">
        <v>1199</v>
      </c>
      <c r="C32" s="90" t="s">
        <v>1196</v>
      </c>
      <c r="D32" s="90" t="e">
        <f>VLOOKUP(B32,계약체결용!$B:$C,2,0)</f>
        <v>#N/A</v>
      </c>
      <c r="E32" s="90" t="s">
        <v>1188</v>
      </c>
      <c r="F32" s="90" t="s">
        <v>1112</v>
      </c>
      <c r="G32" s="90"/>
      <c r="H32" s="90"/>
      <c r="J32" s="85" t="s">
        <v>1197</v>
      </c>
      <c r="K32" s="114">
        <v>1</v>
      </c>
    </row>
    <row r="33" spans="2:11" x14ac:dyDescent="0.45">
      <c r="B33" s="90" t="s">
        <v>955</v>
      </c>
      <c r="C33" s="90" t="s">
        <v>1196</v>
      </c>
      <c r="D33" s="90" t="str">
        <f>VLOOKUP(B33,계약체결용!$B:$C,2,0)</f>
        <v>B/S-Shop</v>
      </c>
      <c r="E33" s="90"/>
      <c r="F33" s="90" t="str">
        <f>D33</f>
        <v>B/S-Shop</v>
      </c>
      <c r="G33" s="90"/>
      <c r="H33" s="90" t="s">
        <v>1192</v>
      </c>
      <c r="J33" s="85" t="s">
        <v>1198</v>
      </c>
      <c r="K33" s="114">
        <v>1</v>
      </c>
    </row>
    <row r="34" spans="2:11" x14ac:dyDescent="0.45">
      <c r="B34" s="90" t="s">
        <v>1098</v>
      </c>
      <c r="C34" s="90" t="s">
        <v>1196</v>
      </c>
      <c r="D34" s="90" t="str">
        <f>VLOOKUP(B34,계약체결용!$B:$C,2,0)</f>
        <v>투자형 B-Shop (로드)</v>
      </c>
      <c r="E34" s="90"/>
      <c r="F34" s="90" t="str">
        <f>D34</f>
        <v>투자형 B-Shop (로드)</v>
      </c>
      <c r="G34" s="90"/>
      <c r="H34" s="90" t="s">
        <v>1192</v>
      </c>
      <c r="J34" s="85" t="s">
        <v>863</v>
      </c>
      <c r="K34" s="114">
        <v>1</v>
      </c>
    </row>
    <row r="35" spans="2:11" x14ac:dyDescent="0.45">
      <c r="B35" s="90" t="s">
        <v>961</v>
      </c>
      <c r="C35" s="90" t="s">
        <v>1196</v>
      </c>
      <c r="D35" s="90" t="str">
        <f>VLOOKUP(B35,계약체결용!$B:$C,2,0)</f>
        <v>B/S-Shop</v>
      </c>
      <c r="E35" s="90"/>
      <c r="F35" s="90" t="str">
        <f>D35</f>
        <v>B/S-Shop</v>
      </c>
      <c r="G35" s="90"/>
      <c r="H35" s="90" t="s">
        <v>1192</v>
      </c>
      <c r="J35" s="85" t="s">
        <v>1151</v>
      </c>
      <c r="K35" s="114">
        <v>1</v>
      </c>
    </row>
    <row r="36" spans="2:11" x14ac:dyDescent="0.45">
      <c r="B36" s="87" t="s">
        <v>1066</v>
      </c>
      <c r="C36" s="87" t="s">
        <v>1200</v>
      </c>
      <c r="D36" s="87" t="str">
        <f>VLOOKUP(B36,계약체결용!$B:$C,2,0)</f>
        <v>투자형 B-Shop (로드)</v>
      </c>
      <c r="E36" s="87"/>
      <c r="F36" s="87" t="str">
        <f>D36</f>
        <v>투자형 B-Shop (로드)</v>
      </c>
      <c r="G36" s="87" t="s">
        <v>1190</v>
      </c>
      <c r="H36" s="87"/>
      <c r="J36" s="85" t="s">
        <v>1199</v>
      </c>
      <c r="K36" s="114"/>
    </row>
    <row r="37" spans="2:11" x14ac:dyDescent="0.45">
      <c r="B37" s="87" t="s">
        <v>1201</v>
      </c>
      <c r="C37" s="87" t="s">
        <v>1200</v>
      </c>
      <c r="D37" s="87" t="e">
        <f>VLOOKUP(B37,계약체결용!$B:$C,2,0)</f>
        <v>#N/A</v>
      </c>
      <c r="E37" s="87" t="s">
        <v>1188</v>
      </c>
      <c r="F37" s="87" t="s">
        <v>790</v>
      </c>
      <c r="G37" s="87"/>
      <c r="H37" s="87" t="s">
        <v>1192</v>
      </c>
      <c r="J37" s="85" t="s">
        <v>955</v>
      </c>
      <c r="K37" s="114">
        <v>1</v>
      </c>
    </row>
    <row r="38" spans="2:11" x14ac:dyDescent="0.45">
      <c r="B38" s="87" t="s">
        <v>833</v>
      </c>
      <c r="C38" s="87" t="s">
        <v>1200</v>
      </c>
      <c r="D38" s="87" t="str">
        <f>VLOOKUP(B38,계약체결용!$B:$C,2,0)</f>
        <v>B/S-Shop</v>
      </c>
      <c r="E38" s="87"/>
      <c r="F38" s="87" t="str">
        <f>D38</f>
        <v>B/S-Shop</v>
      </c>
      <c r="G38" s="87"/>
      <c r="H38" s="87"/>
      <c r="J38" s="85" t="s">
        <v>1098</v>
      </c>
      <c r="K38" s="114">
        <v>1</v>
      </c>
    </row>
    <row r="39" spans="2:11" x14ac:dyDescent="0.45">
      <c r="B39" s="87" t="s">
        <v>1202</v>
      </c>
      <c r="C39" s="87" t="s">
        <v>1200</v>
      </c>
      <c r="D39" s="87" t="e">
        <f>VLOOKUP(B39,계약체결용!$B:$C,2,0)</f>
        <v>#N/A</v>
      </c>
      <c r="E39" s="87" t="s">
        <v>1188</v>
      </c>
      <c r="F39" s="87" t="s">
        <v>1189</v>
      </c>
      <c r="G39" s="87"/>
      <c r="H39" s="87" t="s">
        <v>1192</v>
      </c>
      <c r="J39" s="85" t="s">
        <v>961</v>
      </c>
      <c r="K39" s="114">
        <v>1</v>
      </c>
    </row>
    <row r="40" spans="2:11" x14ac:dyDescent="0.45">
      <c r="B40" s="87" t="s">
        <v>1129</v>
      </c>
      <c r="C40" s="87" t="s">
        <v>1200</v>
      </c>
      <c r="D40" s="87" t="str">
        <f>VLOOKUP(B40,계약체결용!$B:$C,2,0)</f>
        <v>투자형 B-Shop (입점)</v>
      </c>
      <c r="E40" s="87"/>
      <c r="F40" s="87" t="str">
        <f t="shared" ref="F40:F50" si="1">D40</f>
        <v>투자형 B-Shop (입점)</v>
      </c>
      <c r="G40" s="87"/>
      <c r="H40" s="87" t="s">
        <v>1192</v>
      </c>
      <c r="J40" s="84" t="s">
        <v>1200</v>
      </c>
      <c r="K40" s="114">
        <v>8</v>
      </c>
    </row>
    <row r="41" spans="2:11" x14ac:dyDescent="0.45">
      <c r="B41" s="87" t="s">
        <v>851</v>
      </c>
      <c r="C41" s="87" t="s">
        <v>1200</v>
      </c>
      <c r="D41" s="87" t="str">
        <f>VLOOKUP(B41,계약체결용!$B:$C,2,0)</f>
        <v>B/S-Shop</v>
      </c>
      <c r="E41" s="87"/>
      <c r="F41" s="87" t="str">
        <f t="shared" si="1"/>
        <v>B/S-Shop</v>
      </c>
      <c r="G41" s="87"/>
      <c r="H41" s="87" t="s">
        <v>1192</v>
      </c>
      <c r="J41" s="85" t="s">
        <v>1066</v>
      </c>
      <c r="K41" s="114"/>
    </row>
    <row r="42" spans="2:11" x14ac:dyDescent="0.45">
      <c r="B42" s="87" t="s">
        <v>931</v>
      </c>
      <c r="C42" s="87" t="s">
        <v>1200</v>
      </c>
      <c r="D42" s="87" t="str">
        <f>VLOOKUP(B42,계약체결용!$B:$C,2,0)</f>
        <v>B/S-Shop</v>
      </c>
      <c r="E42" s="87"/>
      <c r="F42" s="87" t="str">
        <f t="shared" si="1"/>
        <v>B/S-Shop</v>
      </c>
      <c r="G42" s="87"/>
      <c r="H42" s="87" t="s">
        <v>1192</v>
      </c>
      <c r="J42" s="85" t="s">
        <v>1201</v>
      </c>
      <c r="K42" s="114">
        <v>1</v>
      </c>
    </row>
    <row r="43" spans="2:11" x14ac:dyDescent="0.45">
      <c r="B43" s="87" t="s">
        <v>937</v>
      </c>
      <c r="C43" s="87" t="s">
        <v>1200</v>
      </c>
      <c r="D43" s="87" t="str">
        <f>VLOOKUP(B43,계약체결용!$B:$C,2,0)</f>
        <v>B/S-Shop</v>
      </c>
      <c r="E43" s="87"/>
      <c r="F43" s="87" t="str">
        <f t="shared" si="1"/>
        <v>B/S-Shop</v>
      </c>
      <c r="G43" s="87"/>
      <c r="H43" s="87" t="s">
        <v>1192</v>
      </c>
      <c r="J43" s="85" t="s">
        <v>833</v>
      </c>
      <c r="K43" s="114"/>
    </row>
    <row r="44" spans="2:11" x14ac:dyDescent="0.45">
      <c r="B44" s="87" t="s">
        <v>1092</v>
      </c>
      <c r="C44" s="87" t="s">
        <v>1200</v>
      </c>
      <c r="D44" s="87" t="str">
        <f>VLOOKUP(B44,계약체결용!$B:$C,2,0)</f>
        <v>투자형 B-Shop (로드)</v>
      </c>
      <c r="E44" s="87"/>
      <c r="F44" s="87" t="str">
        <f t="shared" si="1"/>
        <v>투자형 B-Shop (로드)</v>
      </c>
      <c r="G44" s="87"/>
      <c r="H44" s="87" t="s">
        <v>1192</v>
      </c>
      <c r="J44" s="85" t="s">
        <v>1202</v>
      </c>
      <c r="K44" s="114">
        <v>1</v>
      </c>
    </row>
    <row r="45" spans="2:11" x14ac:dyDescent="0.45">
      <c r="B45" s="87" t="s">
        <v>985</v>
      </c>
      <c r="C45" s="87" t="s">
        <v>1200</v>
      </c>
      <c r="D45" s="87" t="str">
        <f>VLOOKUP(B45,계약체결용!$B:$C,2,0)</f>
        <v>B/S-Shop</v>
      </c>
      <c r="E45" s="87"/>
      <c r="F45" s="87" t="str">
        <f t="shared" si="1"/>
        <v>B/S-Shop</v>
      </c>
      <c r="G45" s="87"/>
      <c r="H45" s="87" t="s">
        <v>1192</v>
      </c>
      <c r="J45" s="85" t="s">
        <v>1129</v>
      </c>
      <c r="K45" s="114">
        <v>1</v>
      </c>
    </row>
    <row r="46" spans="2:11" x14ac:dyDescent="0.45">
      <c r="B46" s="87" t="s">
        <v>991</v>
      </c>
      <c r="C46" s="87" t="s">
        <v>1200</v>
      </c>
      <c r="D46" s="87" t="str">
        <f>VLOOKUP(B46,계약체결용!$B:$C,2,0)</f>
        <v>B/S-Shop</v>
      </c>
      <c r="E46" s="87"/>
      <c r="F46" s="87" t="str">
        <f t="shared" si="1"/>
        <v>B/S-Shop</v>
      </c>
      <c r="G46" s="87"/>
      <c r="H46" s="87"/>
      <c r="J46" s="85" t="s">
        <v>851</v>
      </c>
      <c r="K46" s="114">
        <v>1</v>
      </c>
    </row>
    <row r="47" spans="2:11" x14ac:dyDescent="0.45">
      <c r="B47" s="87" t="s">
        <v>1053</v>
      </c>
      <c r="C47" s="87" t="s">
        <v>1200</v>
      </c>
      <c r="D47" s="87" t="str">
        <f>VLOOKUP(B47,계약체결용!$B:$C,2,0)</f>
        <v>B/S-Shop</v>
      </c>
      <c r="E47" s="87"/>
      <c r="F47" s="87" t="str">
        <f t="shared" si="1"/>
        <v>B/S-Shop</v>
      </c>
      <c r="G47" s="87"/>
      <c r="H47" s="87"/>
      <c r="J47" s="85" t="s">
        <v>931</v>
      </c>
      <c r="K47" s="114">
        <v>1</v>
      </c>
    </row>
    <row r="48" spans="2:11" x14ac:dyDescent="0.45">
      <c r="B48" s="88" t="s">
        <v>1067</v>
      </c>
      <c r="C48" s="88" t="s">
        <v>1203</v>
      </c>
      <c r="D48" s="88" t="str">
        <f>VLOOKUP(B48,계약체결용!$B:$C,2,0)</f>
        <v>투자형 B-Shop (로드)</v>
      </c>
      <c r="E48" s="88"/>
      <c r="F48" s="88" t="str">
        <f t="shared" si="1"/>
        <v>투자형 B-Shop (로드)</v>
      </c>
      <c r="G48" s="88"/>
      <c r="H48" s="88"/>
      <c r="J48" s="85" t="s">
        <v>937</v>
      </c>
      <c r="K48" s="114">
        <v>1</v>
      </c>
    </row>
    <row r="49" spans="2:11" x14ac:dyDescent="0.45">
      <c r="B49" s="88" t="s">
        <v>1115</v>
      </c>
      <c r="C49" s="88" t="s">
        <v>1203</v>
      </c>
      <c r="D49" s="88" t="str">
        <f>VLOOKUP(B49,계약체결용!$B:$C,2,0)</f>
        <v>투자형 B-Shop (입점)</v>
      </c>
      <c r="E49" s="88"/>
      <c r="F49" s="88" t="str">
        <f t="shared" si="1"/>
        <v>투자형 B-Shop (입점)</v>
      </c>
      <c r="G49" s="88"/>
      <c r="H49" s="88" t="s">
        <v>1192</v>
      </c>
      <c r="J49" s="85" t="s">
        <v>1092</v>
      </c>
      <c r="K49" s="114">
        <v>1</v>
      </c>
    </row>
    <row r="50" spans="2:11" x14ac:dyDescent="0.45">
      <c r="B50" s="88" t="s">
        <v>1121</v>
      </c>
      <c r="C50" s="88" t="s">
        <v>1203</v>
      </c>
      <c r="D50" s="88" t="str">
        <f>VLOOKUP(B50,계약체결용!$B:$C,2,0)</f>
        <v>투자형 B-Shop (입점)</v>
      </c>
      <c r="E50" s="88"/>
      <c r="F50" s="88" t="str">
        <f t="shared" si="1"/>
        <v>투자형 B-Shop (입점)</v>
      </c>
      <c r="G50" s="88"/>
      <c r="H50" s="88" t="s">
        <v>1192</v>
      </c>
      <c r="J50" s="85" t="s">
        <v>985</v>
      </c>
      <c r="K50" s="114">
        <v>1</v>
      </c>
    </row>
    <row r="51" spans="2:11" x14ac:dyDescent="0.45">
      <c r="B51" s="88" t="s">
        <v>1135</v>
      </c>
      <c r="C51" s="88" t="s">
        <v>1203</v>
      </c>
      <c r="D51" s="88" t="str">
        <f>VLOOKUP(B51,계약체결용!$B:$C,2,0)</f>
        <v>투자형 B-Shop (입점)</v>
      </c>
      <c r="E51" s="88" t="s">
        <v>1191</v>
      </c>
      <c r="F51" s="88" t="s">
        <v>1189</v>
      </c>
      <c r="G51" s="88" t="s">
        <v>1190</v>
      </c>
      <c r="H51" s="88" t="s">
        <v>1192</v>
      </c>
      <c r="J51" s="85" t="s">
        <v>991</v>
      </c>
      <c r="K51" s="114"/>
    </row>
    <row r="52" spans="2:11" x14ac:dyDescent="0.45">
      <c r="B52" s="88" t="s">
        <v>1204</v>
      </c>
      <c r="C52" s="88" t="s">
        <v>1203</v>
      </c>
      <c r="D52" s="88" t="e">
        <f>VLOOKUP(B52,계약체결용!$B:$C,2,0)</f>
        <v>#N/A</v>
      </c>
      <c r="E52" s="88" t="s">
        <v>1188</v>
      </c>
      <c r="F52" s="88" t="s">
        <v>1189</v>
      </c>
      <c r="G52" s="88" t="s">
        <v>1190</v>
      </c>
      <c r="H52" s="88"/>
      <c r="J52" s="85" t="s">
        <v>1053</v>
      </c>
      <c r="K52" s="114"/>
    </row>
    <row r="53" spans="2:11" x14ac:dyDescent="0.45">
      <c r="B53" s="88" t="s">
        <v>1145</v>
      </c>
      <c r="C53" s="88" t="s">
        <v>1203</v>
      </c>
      <c r="D53" s="88" t="str">
        <f>VLOOKUP(B53,계약체결용!$B:$C,2,0)</f>
        <v>투자형 B-Shop (입점)</v>
      </c>
      <c r="E53" s="88"/>
      <c r="F53" s="88" t="str">
        <f t="shared" ref="F53:F70" si="2">D53</f>
        <v>투자형 B-Shop (입점)</v>
      </c>
      <c r="G53" s="88" t="s">
        <v>1190</v>
      </c>
      <c r="H53" s="88" t="s">
        <v>1192</v>
      </c>
      <c r="J53" s="84" t="s">
        <v>1203</v>
      </c>
      <c r="K53" s="114">
        <v>8</v>
      </c>
    </row>
    <row r="54" spans="2:11" x14ac:dyDescent="0.45">
      <c r="B54" s="88" t="s">
        <v>871</v>
      </c>
      <c r="C54" s="88" t="s">
        <v>1203</v>
      </c>
      <c r="D54" s="88" t="str">
        <f>VLOOKUP(B54,계약체결용!$B:$C,2,0)</f>
        <v>B/S-Shop</v>
      </c>
      <c r="E54" s="88"/>
      <c r="F54" s="88" t="str">
        <f t="shared" si="2"/>
        <v>B/S-Shop</v>
      </c>
      <c r="G54" s="88"/>
      <c r="H54" s="88"/>
      <c r="J54" s="85" t="s">
        <v>1067</v>
      </c>
      <c r="K54" s="114"/>
    </row>
    <row r="55" spans="2:11" x14ac:dyDescent="0.45">
      <c r="B55" s="88" t="s">
        <v>1156</v>
      </c>
      <c r="C55" s="88" t="s">
        <v>1203</v>
      </c>
      <c r="D55" s="88" t="str">
        <f>VLOOKUP(B55,계약체결용!$B:$C,2,0)</f>
        <v>투자형 B-Shop (입점)</v>
      </c>
      <c r="E55" s="88"/>
      <c r="F55" s="88" t="str">
        <f t="shared" si="2"/>
        <v>투자형 B-Shop (입점)</v>
      </c>
      <c r="G55" s="88"/>
      <c r="H55" s="88" t="s">
        <v>1192</v>
      </c>
      <c r="J55" s="85" t="s">
        <v>1115</v>
      </c>
      <c r="K55" s="114">
        <v>1</v>
      </c>
    </row>
    <row r="56" spans="2:11" x14ac:dyDescent="0.45">
      <c r="B56" s="88" t="s">
        <v>1162</v>
      </c>
      <c r="C56" s="88" t="s">
        <v>1203</v>
      </c>
      <c r="D56" s="88" t="str">
        <f>VLOOKUP(B56,계약체결용!$B:$C,2,0)</f>
        <v>투자형 B-Shop (입점)</v>
      </c>
      <c r="E56" s="88"/>
      <c r="F56" s="88" t="str">
        <f t="shared" si="2"/>
        <v>투자형 B-Shop (입점)</v>
      </c>
      <c r="G56" s="88"/>
      <c r="H56" s="88" t="s">
        <v>1192</v>
      </c>
      <c r="J56" s="85" t="s">
        <v>1121</v>
      </c>
      <c r="K56" s="114">
        <v>1</v>
      </c>
    </row>
    <row r="57" spans="2:11" x14ac:dyDescent="0.45">
      <c r="B57" s="88" t="s">
        <v>925</v>
      </c>
      <c r="C57" s="88" t="s">
        <v>1203</v>
      </c>
      <c r="D57" s="88" t="str">
        <f>VLOOKUP(B57,계약체결용!$B:$C,2,0)</f>
        <v>B/S-Shop</v>
      </c>
      <c r="E57" s="88"/>
      <c r="F57" s="88" t="str">
        <f t="shared" si="2"/>
        <v>B/S-Shop</v>
      </c>
      <c r="G57" s="88"/>
      <c r="H57" s="88"/>
      <c r="J57" s="85" t="s">
        <v>1135</v>
      </c>
      <c r="K57" s="114">
        <v>1</v>
      </c>
    </row>
    <row r="58" spans="2:11" x14ac:dyDescent="0.45">
      <c r="B58" s="88" t="s">
        <v>1086</v>
      </c>
      <c r="C58" s="88" t="s">
        <v>1203</v>
      </c>
      <c r="D58" s="88" t="str">
        <f>VLOOKUP(B58,계약체결용!$B:$C,2,0)</f>
        <v>투자형 B-Shop (로드)</v>
      </c>
      <c r="E58" s="88"/>
      <c r="F58" s="88" t="str">
        <f t="shared" si="2"/>
        <v>투자형 B-Shop (로드)</v>
      </c>
      <c r="G58" s="88"/>
      <c r="H58" s="88" t="s">
        <v>1192</v>
      </c>
      <c r="J58" s="85" t="s">
        <v>1204</v>
      </c>
      <c r="K58" s="114"/>
    </row>
    <row r="59" spans="2:11" x14ac:dyDescent="0.45">
      <c r="B59" s="88" t="s">
        <v>1035</v>
      </c>
      <c r="C59" s="88" t="s">
        <v>1203</v>
      </c>
      <c r="D59" s="88" t="str">
        <f>VLOOKUP(B59,계약체결용!$B:$C,2,0)</f>
        <v>B/S-Shop</v>
      </c>
      <c r="E59" s="88"/>
      <c r="F59" s="88" t="str">
        <f t="shared" si="2"/>
        <v>B/S-Shop</v>
      </c>
      <c r="G59" s="88"/>
      <c r="H59" s="88" t="s">
        <v>1192</v>
      </c>
      <c r="J59" s="85" t="s">
        <v>1145</v>
      </c>
      <c r="K59" s="114">
        <v>1</v>
      </c>
    </row>
    <row r="60" spans="2:11" x14ac:dyDescent="0.45">
      <c r="B60" s="91" t="s">
        <v>789</v>
      </c>
      <c r="C60" s="91" t="s">
        <v>1205</v>
      </c>
      <c r="D60" s="91" t="str">
        <f>VLOOKUP(B60,계약체결용!$B:$C,2,0)</f>
        <v>B/S-Shop</v>
      </c>
      <c r="E60" s="91"/>
      <c r="F60" s="91" t="str">
        <f t="shared" si="2"/>
        <v>B/S-Shop</v>
      </c>
      <c r="G60" s="91"/>
      <c r="H60" s="91" t="s">
        <v>1192</v>
      </c>
      <c r="J60" s="85" t="s">
        <v>871</v>
      </c>
      <c r="K60" s="114"/>
    </row>
    <row r="61" spans="2:11" x14ac:dyDescent="0.45">
      <c r="B61" s="91" t="s">
        <v>1073</v>
      </c>
      <c r="C61" s="91" t="s">
        <v>1205</v>
      </c>
      <c r="D61" s="91" t="str">
        <f>VLOOKUP(B61,계약체결용!$B:$C,2,0)</f>
        <v>투자형 B-Shop (로드)</v>
      </c>
      <c r="E61" s="91"/>
      <c r="F61" s="91" t="str">
        <f t="shared" si="2"/>
        <v>투자형 B-Shop (로드)</v>
      </c>
      <c r="G61" s="91" t="s">
        <v>1190</v>
      </c>
      <c r="H61" s="91" t="s">
        <v>1192</v>
      </c>
      <c r="J61" s="85" t="s">
        <v>1156</v>
      </c>
      <c r="K61" s="114">
        <v>1</v>
      </c>
    </row>
    <row r="62" spans="2:11" x14ac:dyDescent="0.45">
      <c r="B62" s="91" t="s">
        <v>845</v>
      </c>
      <c r="C62" s="91" t="s">
        <v>1205</v>
      </c>
      <c r="D62" s="91" t="str">
        <f>VLOOKUP(B62,계약체결용!$B:$C,2,0)</f>
        <v>B/S-Shop</v>
      </c>
      <c r="E62" s="91"/>
      <c r="F62" s="91" t="str">
        <f t="shared" si="2"/>
        <v>B/S-Shop</v>
      </c>
      <c r="G62" s="91"/>
      <c r="H62" s="91" t="s">
        <v>1192</v>
      </c>
      <c r="J62" s="85" t="s">
        <v>1162</v>
      </c>
      <c r="K62" s="114">
        <v>1</v>
      </c>
    </row>
    <row r="63" spans="2:11" x14ac:dyDescent="0.45">
      <c r="B63" s="91" t="s">
        <v>857</v>
      </c>
      <c r="C63" s="91" t="s">
        <v>1205</v>
      </c>
      <c r="D63" s="91" t="str">
        <f>VLOOKUP(B63,계약체결용!$B:$C,2,0)</f>
        <v>B/S-Shop</v>
      </c>
      <c r="E63" s="91"/>
      <c r="F63" s="91" t="str">
        <f t="shared" si="2"/>
        <v>B/S-Shop</v>
      </c>
      <c r="G63" s="91"/>
      <c r="H63" s="91" t="s">
        <v>1192</v>
      </c>
      <c r="J63" s="85" t="s">
        <v>925</v>
      </c>
      <c r="K63" s="114"/>
    </row>
    <row r="64" spans="2:11" x14ac:dyDescent="0.45">
      <c r="B64" s="91" t="s">
        <v>877</v>
      </c>
      <c r="C64" s="91" t="s">
        <v>1205</v>
      </c>
      <c r="D64" s="91" t="str">
        <f>VLOOKUP(B64,계약체결용!$B:$C,2,0)</f>
        <v>B/S-Shop</v>
      </c>
      <c r="E64" s="91"/>
      <c r="F64" s="91" t="str">
        <f t="shared" si="2"/>
        <v>B/S-Shop</v>
      </c>
      <c r="G64" s="91"/>
      <c r="H64" s="91" t="s">
        <v>1192</v>
      </c>
      <c r="J64" s="85" t="s">
        <v>1086</v>
      </c>
      <c r="K64" s="114">
        <v>1</v>
      </c>
    </row>
    <row r="65" spans="2:11" x14ac:dyDescent="0.45">
      <c r="B65" s="91" t="s">
        <v>907</v>
      </c>
      <c r="C65" s="91" t="s">
        <v>1205</v>
      </c>
      <c r="D65" s="91" t="str">
        <f>VLOOKUP(B65,계약체결용!$B:$C,2,0)</f>
        <v>B/S-Shop</v>
      </c>
      <c r="E65" s="91"/>
      <c r="F65" s="91" t="str">
        <f t="shared" si="2"/>
        <v>B/S-Shop</v>
      </c>
      <c r="G65" s="91"/>
      <c r="H65" s="91" t="s">
        <v>1192</v>
      </c>
      <c r="J65" s="85" t="s">
        <v>1035</v>
      </c>
      <c r="K65" s="114">
        <v>1</v>
      </c>
    </row>
    <row r="66" spans="2:11" x14ac:dyDescent="0.45">
      <c r="B66" s="91" t="s">
        <v>943</v>
      </c>
      <c r="C66" s="91" t="s">
        <v>1205</v>
      </c>
      <c r="D66" s="91" t="str">
        <f>VLOOKUP(B66,계약체결용!$B:$C,2,0)</f>
        <v>B/S-Shop</v>
      </c>
      <c r="E66" s="91"/>
      <c r="F66" s="91" t="str">
        <f t="shared" si="2"/>
        <v>B/S-Shop</v>
      </c>
      <c r="G66" s="91"/>
      <c r="H66" s="91" t="s">
        <v>1192</v>
      </c>
      <c r="J66" s="84" t="s">
        <v>1205</v>
      </c>
      <c r="K66" s="114">
        <v>10</v>
      </c>
    </row>
    <row r="67" spans="2:11" x14ac:dyDescent="0.45">
      <c r="B67" s="91" t="s">
        <v>973</v>
      </c>
      <c r="C67" s="91" t="s">
        <v>1205</v>
      </c>
      <c r="D67" s="91" t="str">
        <f>VLOOKUP(B67,계약체결용!$B:$C,2,0)</f>
        <v>B/S-Shop</v>
      </c>
      <c r="E67" s="91"/>
      <c r="F67" s="91" t="str">
        <f t="shared" si="2"/>
        <v>B/S-Shop</v>
      </c>
      <c r="G67" s="91"/>
      <c r="H67" s="91" t="s">
        <v>1192</v>
      </c>
      <c r="J67" s="85" t="s">
        <v>789</v>
      </c>
      <c r="K67" s="114">
        <v>1</v>
      </c>
    </row>
    <row r="68" spans="2:11" x14ac:dyDescent="0.45">
      <c r="B68" s="91" t="s">
        <v>1104</v>
      </c>
      <c r="C68" s="91" t="s">
        <v>1205</v>
      </c>
      <c r="D68" s="91" t="str">
        <f>VLOOKUP(B68,계약체결용!$B:$C,2,0)</f>
        <v>투자형 B-Shop (로드)</v>
      </c>
      <c r="E68" s="91"/>
      <c r="F68" s="91" t="str">
        <f t="shared" si="2"/>
        <v>투자형 B-Shop (로드)</v>
      </c>
      <c r="G68" s="91"/>
      <c r="H68" s="91" t="s">
        <v>1192</v>
      </c>
      <c r="J68" s="85" t="s">
        <v>1073</v>
      </c>
      <c r="K68" s="114">
        <v>1</v>
      </c>
    </row>
    <row r="69" spans="2:11" x14ac:dyDescent="0.45">
      <c r="B69" s="91" t="s">
        <v>979</v>
      </c>
      <c r="C69" s="91" t="s">
        <v>1205</v>
      </c>
      <c r="D69" s="91" t="str">
        <f>VLOOKUP(B69,계약체결용!$B:$C,2,0)</f>
        <v>B/S-Shop</v>
      </c>
      <c r="E69" s="91"/>
      <c r="F69" s="91" t="str">
        <f t="shared" si="2"/>
        <v>B/S-Shop</v>
      </c>
      <c r="G69" s="91"/>
      <c r="H69" s="91" t="s">
        <v>1192</v>
      </c>
      <c r="J69" s="85" t="s">
        <v>845</v>
      </c>
      <c r="K69" s="114">
        <v>1</v>
      </c>
    </row>
    <row r="70" spans="2:11" x14ac:dyDescent="0.45">
      <c r="B70" s="91" t="s">
        <v>1021</v>
      </c>
      <c r="C70" s="91" t="s">
        <v>1205</v>
      </c>
      <c r="D70" s="91" t="str">
        <f>VLOOKUP(B70,계약체결용!$B:$C,2,0)</f>
        <v>B/S-Shop</v>
      </c>
      <c r="E70" s="91"/>
      <c r="F70" s="91" t="str">
        <f t="shared" si="2"/>
        <v>B/S-Shop</v>
      </c>
      <c r="G70" s="91"/>
      <c r="H70" s="91"/>
      <c r="J70" s="85" t="s">
        <v>857</v>
      </c>
      <c r="K70" s="114">
        <v>1</v>
      </c>
    </row>
    <row r="71" spans="2:11" x14ac:dyDescent="0.45">
      <c r="J71" s="85" t="s">
        <v>877</v>
      </c>
      <c r="K71" s="114">
        <v>1</v>
      </c>
    </row>
    <row r="72" spans="2:11" x14ac:dyDescent="0.45">
      <c r="J72" s="85" t="s">
        <v>907</v>
      </c>
      <c r="K72" s="114">
        <v>1</v>
      </c>
    </row>
    <row r="73" spans="2:11" x14ac:dyDescent="0.45">
      <c r="J73" s="85" t="s">
        <v>943</v>
      </c>
      <c r="K73" s="114">
        <v>1</v>
      </c>
    </row>
    <row r="74" spans="2:11" x14ac:dyDescent="0.45">
      <c r="J74" s="85" t="s">
        <v>973</v>
      </c>
      <c r="K74" s="114">
        <v>1</v>
      </c>
    </row>
    <row r="75" spans="2:11" x14ac:dyDescent="0.45">
      <c r="J75" s="85" t="s">
        <v>1104</v>
      </c>
      <c r="K75" s="114">
        <v>1</v>
      </c>
    </row>
    <row r="76" spans="2:11" x14ac:dyDescent="0.45">
      <c r="J76" s="85" t="s">
        <v>979</v>
      </c>
      <c r="K76" s="114">
        <v>1</v>
      </c>
    </row>
    <row r="77" spans="2:11" x14ac:dyDescent="0.45">
      <c r="J77" s="85" t="s">
        <v>1021</v>
      </c>
      <c r="K77" s="114"/>
    </row>
    <row r="78" spans="2:11" x14ac:dyDescent="0.45">
      <c r="J78" s="84" t="s">
        <v>1206</v>
      </c>
      <c r="K78" s="114"/>
    </row>
    <row r="79" spans="2:11" x14ac:dyDescent="0.45">
      <c r="J79" s="85" t="s">
        <v>1206</v>
      </c>
      <c r="K79" s="114"/>
    </row>
    <row r="80" spans="2:11" x14ac:dyDescent="0.45">
      <c r="J80" s="84" t="s">
        <v>1207</v>
      </c>
      <c r="K80" s="114">
        <v>51</v>
      </c>
    </row>
  </sheetData>
  <autoFilter ref="B1:H70" xr:uid="{00000000-0009-0000-0000-00000B000000}">
    <sortState ref="B2:H70">
      <sortCondition ref="C1:C70"/>
    </sortState>
  </autoFilter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P67"/>
  <sheetViews>
    <sheetView zoomScaleNormal="100" workbookViewId="0">
      <pane xSplit="2" ySplit="2" topLeftCell="C3" activePane="bottomRight" state="frozen"/>
      <selection activeCell="B27" sqref="B27"/>
      <selection pane="topRight" activeCell="B27" sqref="B27"/>
      <selection pane="bottomLeft" activeCell="B27" sqref="B27"/>
      <selection pane="bottomRight" activeCell="B21" sqref="B21"/>
    </sheetView>
  </sheetViews>
  <sheetFormatPr defaultColWidth="8.83203125" defaultRowHeight="14.5" x14ac:dyDescent="0.45"/>
  <cols>
    <col min="1" max="1" width="1.5" style="125" customWidth="1"/>
    <col min="2" max="2" width="17.08203125" style="125" bestFit="1" customWidth="1"/>
    <col min="3" max="3" width="16.1640625" style="125" bestFit="1" customWidth="1"/>
    <col min="4" max="4" width="16.6640625" style="125" customWidth="1"/>
    <col min="5" max="5" width="7.1640625" style="125" customWidth="1"/>
    <col min="6" max="6" width="9.6640625" style="125" customWidth="1"/>
    <col min="7" max="7" width="19" style="125" customWidth="1"/>
    <col min="8" max="8" width="20" style="125" customWidth="1"/>
    <col min="9" max="9" width="12.9140625" style="125" customWidth="1"/>
    <col min="10" max="10" width="16.9140625" style="125" customWidth="1"/>
    <col min="11" max="11" width="50.33203125" style="125" customWidth="1"/>
    <col min="12" max="12" width="11.6640625" style="125" bestFit="1" customWidth="1"/>
    <col min="13" max="13" width="13.4140625" style="128" bestFit="1" customWidth="1"/>
    <col min="14" max="14" width="26" style="125" bestFit="1" customWidth="1"/>
    <col min="15" max="15" width="21" style="125" bestFit="1" customWidth="1"/>
    <col min="16" max="16" width="8.83203125" style="125" customWidth="1"/>
    <col min="17" max="16384" width="8.83203125" style="125"/>
  </cols>
  <sheetData>
    <row r="2" spans="2:15" x14ac:dyDescent="0.45">
      <c r="B2" s="124" t="s">
        <v>0</v>
      </c>
      <c r="C2" s="124" t="s">
        <v>781</v>
      </c>
      <c r="D2" s="124" t="s">
        <v>1208</v>
      </c>
      <c r="E2" s="124"/>
      <c r="F2" s="124"/>
      <c r="G2" s="124" t="s">
        <v>1209</v>
      </c>
      <c r="H2" s="124" t="s">
        <v>784</v>
      </c>
      <c r="I2" s="124" t="s">
        <v>9</v>
      </c>
      <c r="J2" s="124" t="s">
        <v>785</v>
      </c>
      <c r="K2" s="124" t="s">
        <v>11</v>
      </c>
      <c r="L2" s="124" t="s">
        <v>786</v>
      </c>
      <c r="M2" s="123" t="s">
        <v>787</v>
      </c>
      <c r="N2" s="124" t="s">
        <v>1</v>
      </c>
      <c r="O2" s="124" t="s">
        <v>788</v>
      </c>
    </row>
    <row r="3" spans="2:15" x14ac:dyDescent="0.45">
      <c r="B3" s="75" t="s">
        <v>1201</v>
      </c>
      <c r="C3" s="75" t="str">
        <f>VLOOKUP(B3,'2603실제'!$D:$E,2,0)</f>
        <v>일반BS</v>
      </c>
      <c r="D3" s="75" t="s">
        <v>791</v>
      </c>
      <c r="E3" s="75" t="s">
        <v>792</v>
      </c>
      <c r="F3" s="75" t="s">
        <v>793</v>
      </c>
      <c r="G3" s="75" t="str">
        <f t="shared" ref="G3:G34" si="0">E3&amp;" (\"&amp;F3&amp;")"</f>
        <v>이천만원 (\20,000,000원)</v>
      </c>
      <c r="H3" s="75" t="str">
        <f>VLOOKUP(B3,'25년계약체결리스트'!$B:$K,7,0)</f>
        <v>일룸 거제점</v>
      </c>
      <c r="I3" s="75" t="str">
        <f>VLOOKUP(B3,'25년계약체결리스트'!$B:$O,8,0)</f>
        <v>178-73-00699</v>
      </c>
      <c r="J3" s="75" t="str">
        <f>VLOOKUP(B3,'25년계약체결리스트'!$B:$O,9,0)</f>
        <v>안 율</v>
      </c>
      <c r="K3" s="75" t="str">
        <f>VLOOKUP(B3,'25년계약체결리스트'!$B:$O,10,0)</f>
        <v>경상남도 거제시 수양로 454-40, 2층(수월동)</v>
      </c>
      <c r="L3" s="126" t="s">
        <v>1210</v>
      </c>
      <c r="M3" s="126" t="s">
        <v>1211</v>
      </c>
      <c r="N3" s="75" t="str">
        <f t="shared" ref="N3:N34" si="1">L3&amp;" ~ "&amp;M3</f>
        <v>2026년 4월 1일 ~ 2027년 3월 31일</v>
      </c>
      <c r="O3" s="75" t="str">
        <f>VLOOKUP(B3,'25년계약체결리스트'!$B:$O,14,0)</f>
        <v>ld5yul@hanmail.net</v>
      </c>
    </row>
    <row r="4" spans="2:15" x14ac:dyDescent="0.45">
      <c r="B4" s="75" t="s">
        <v>808</v>
      </c>
      <c r="C4" s="75" t="str">
        <f>VLOOKUP(B4,'2603실제'!$D:$E,2,0)</f>
        <v>일반BS</v>
      </c>
      <c r="D4" s="75" t="s">
        <v>791</v>
      </c>
      <c r="E4" s="75" t="s">
        <v>792</v>
      </c>
      <c r="F4" s="75" t="s">
        <v>793</v>
      </c>
      <c r="G4" s="75" t="str">
        <f t="shared" si="0"/>
        <v>이천만원 (\20,000,000원)</v>
      </c>
      <c r="H4" s="75" t="str">
        <f>VLOOKUP(B4,'25년계약체결리스트'!$B:$K,7,0)</f>
        <v>그린퍼니처</v>
      </c>
      <c r="I4" s="75" t="str">
        <f>VLOOKUP(B4,'25년계약체결리스트'!$B:$O,8,0)</f>
        <v>505-09-65796</v>
      </c>
      <c r="J4" s="75" t="str">
        <f>VLOOKUP(B4,'25년계약체결리스트'!$B:$O,9,0)</f>
        <v>신 도 철</v>
      </c>
      <c r="K4" s="75" t="str">
        <f>VLOOKUP(B4,'25년계약체결리스트'!$B:$O,10,0)</f>
        <v>경북 경주시 원화로468, b동</v>
      </c>
      <c r="L4" s="126" t="s">
        <v>1210</v>
      </c>
      <c r="M4" s="126" t="s">
        <v>1211</v>
      </c>
      <c r="N4" s="75" t="str">
        <f t="shared" si="1"/>
        <v>2026년 4월 1일 ~ 2027년 3월 31일</v>
      </c>
      <c r="O4" s="75" t="str">
        <f>VLOOKUP(B4,'25년계약체결리스트'!$B:$O,14,0)</f>
        <v>ch9000@hanmail.net</v>
      </c>
    </row>
    <row r="5" spans="2:15" x14ac:dyDescent="0.45">
      <c r="B5" s="75" t="s">
        <v>821</v>
      </c>
      <c r="C5" s="75" t="str">
        <f>VLOOKUP(B5,'2603실제'!$D:$E,2,0)</f>
        <v>일반BS</v>
      </c>
      <c r="D5" s="75" t="s">
        <v>791</v>
      </c>
      <c r="E5" s="75" t="s">
        <v>792</v>
      </c>
      <c r="F5" s="75" t="s">
        <v>793</v>
      </c>
      <c r="G5" s="75" t="str">
        <f t="shared" si="0"/>
        <v>이천만원 (\20,000,000원)</v>
      </c>
      <c r="H5" s="75" t="str">
        <f>VLOOKUP(B5,'25년계약체결리스트'!$B:$K,7,0)</f>
        <v>일룸 가구 구미점</v>
      </c>
      <c r="I5" s="75" t="str">
        <f>VLOOKUP(B5,'25년계약체결리스트'!$B:$O,8,0)</f>
        <v>283-05-01540</v>
      </c>
      <c r="J5" s="75" t="str">
        <f>VLOOKUP(B5,'25년계약체결리스트'!$B:$O,9,0)</f>
        <v>김관우, 김동윤, 박정애</v>
      </c>
      <c r="K5" s="75" t="str">
        <f>VLOOKUP(B5,'25년계약체결리스트'!$B:$O,10,0)</f>
        <v>경북 구미시 산업로28길 4</v>
      </c>
      <c r="L5" s="126" t="s">
        <v>1210</v>
      </c>
      <c r="M5" s="126" t="s">
        <v>1211</v>
      </c>
      <c r="N5" s="75" t="str">
        <f t="shared" si="1"/>
        <v>2026년 4월 1일 ~ 2027년 3월 31일</v>
      </c>
      <c r="O5" s="75" t="str">
        <f>VLOOKUP(B5,'25년계약체결리스트'!$B:$O,14,0)</f>
        <v>ktongyun@hanmail.net</v>
      </c>
    </row>
    <row r="6" spans="2:15" x14ac:dyDescent="0.45">
      <c r="B6" s="75" t="s">
        <v>827</v>
      </c>
      <c r="C6" s="75" t="str">
        <f>VLOOKUP(B6,'2603실제'!$D:$E,2,0)</f>
        <v>일반BS</v>
      </c>
      <c r="D6" s="75" t="s">
        <v>791</v>
      </c>
      <c r="E6" s="75" t="s">
        <v>792</v>
      </c>
      <c r="F6" s="75" t="s">
        <v>793</v>
      </c>
      <c r="G6" s="75" t="str">
        <f t="shared" si="0"/>
        <v>이천만원 (\20,000,000원)</v>
      </c>
      <c r="H6" s="75" t="str">
        <f>VLOOKUP(B6,'25년계약체결리스트'!$B:$K,7,0)</f>
        <v>일룸김포점</v>
      </c>
      <c r="I6" s="75" t="str">
        <f>VLOOKUP(B6,'25년계약체결리스트'!$B:$O,8,0)</f>
        <v>137-17-39033</v>
      </c>
      <c r="J6" s="75" t="str">
        <f>VLOOKUP(B6,'25년계약체결리스트'!$B:$O,9,0)</f>
        <v>장 미 영</v>
      </c>
      <c r="K6" s="75" t="str">
        <f>VLOOKUP(B6,'25년계약체결리스트'!$B:$O,10,0)</f>
        <v>경기 김포시 풍무동 27-4 1,2층</v>
      </c>
      <c r="L6" s="126" t="s">
        <v>1210</v>
      </c>
      <c r="M6" s="126" t="s">
        <v>1211</v>
      </c>
      <c r="N6" s="75" t="str">
        <f t="shared" si="1"/>
        <v>2026년 4월 1일 ~ 2027년 3월 31일</v>
      </c>
      <c r="O6" s="75" t="str">
        <f>VLOOKUP(B6,'25년계약체결리스트'!$B:$O,14,0)</f>
        <v>kanges232@naver.com</v>
      </c>
    </row>
    <row r="7" spans="2:15" x14ac:dyDescent="0.45">
      <c r="B7" s="75" t="s">
        <v>833</v>
      </c>
      <c r="C7" s="75" t="str">
        <f>VLOOKUP(B7,'2603실제'!$D:$E,2,0)</f>
        <v>일반BS</v>
      </c>
      <c r="D7" s="75" t="s">
        <v>791</v>
      </c>
      <c r="E7" s="75" t="s">
        <v>792</v>
      </c>
      <c r="F7" s="75" t="s">
        <v>793</v>
      </c>
      <c r="G7" s="75" t="str">
        <f t="shared" si="0"/>
        <v>이천만원 (\20,000,000원)</v>
      </c>
      <c r="H7" s="75" t="str">
        <f>VLOOKUP(B7,'25년계약체결리스트'!$B:$K,7,0)</f>
        <v>일룸 김해브랜드샵</v>
      </c>
      <c r="I7" s="75" t="str">
        <f>VLOOKUP(B7,'25년계약체결리스트'!$B:$O,8,0)</f>
        <v>615-17-27736</v>
      </c>
      <c r="J7" s="75" t="str">
        <f>VLOOKUP(B7,'25년계약체결리스트'!$B:$O,9,0)</f>
        <v>박 효 정</v>
      </c>
      <c r="K7" s="75" t="str">
        <f>VLOOKUP(B7,'25년계약체결리스트'!$B:$O,10,0)</f>
        <v>경남 김해시 풍유동 47-3</v>
      </c>
      <c r="L7" s="126" t="s">
        <v>1210</v>
      </c>
      <c r="M7" s="126" t="s">
        <v>1211</v>
      </c>
      <c r="N7" s="75" t="str">
        <f t="shared" si="1"/>
        <v>2026년 4월 1일 ~ 2027년 3월 31일</v>
      </c>
      <c r="O7" s="75" t="str">
        <f>VLOOKUP(B7,'25년계약체결리스트'!$B:$O,14,0)</f>
        <v>iloomju@naver.com</v>
      </c>
    </row>
    <row r="8" spans="2:15" x14ac:dyDescent="0.45">
      <c r="B8" s="75" t="s">
        <v>839</v>
      </c>
      <c r="C8" s="75" t="str">
        <f>VLOOKUP(B8,'2603실제'!$D:$E,2,0)</f>
        <v>일반BS</v>
      </c>
      <c r="D8" s="75" t="s">
        <v>791</v>
      </c>
      <c r="E8" s="75" t="s">
        <v>792</v>
      </c>
      <c r="F8" s="75" t="s">
        <v>793</v>
      </c>
      <c r="G8" s="75" t="str">
        <f t="shared" si="0"/>
        <v>이천만원 (\20,000,000원)</v>
      </c>
      <c r="H8" s="75" t="str">
        <f>VLOOKUP(B8,'25년계약체결리스트'!$B:$K,7,0)</f>
        <v>일룸달서프리미엄샵</v>
      </c>
      <c r="I8" s="75" t="str">
        <f>VLOOKUP(B8,'25년계약체결리스트'!$B:$O,8,0)</f>
        <v>514-19-58959</v>
      </c>
      <c r="J8" s="75" t="str">
        <f>VLOOKUP(B8,'25년계약체결리스트'!$B:$O,9,0)</f>
        <v>서 미 경</v>
      </c>
      <c r="K8" s="75" t="str">
        <f>VLOOKUP(B8,'25년계약체결리스트'!$B:$O,10,0)</f>
        <v>대구 달서구 조암로 200(유천동)</v>
      </c>
      <c r="L8" s="126" t="s">
        <v>1210</v>
      </c>
      <c r="M8" s="126" t="s">
        <v>1211</v>
      </c>
      <c r="N8" s="75" t="str">
        <f t="shared" si="1"/>
        <v>2026년 4월 1일 ~ 2027년 3월 31일</v>
      </c>
      <c r="O8" s="75" t="str">
        <f>VLOOKUP(B8,'25년계약체결리스트'!$B:$O,14,0)</f>
        <v>heraseo219@nate.com</v>
      </c>
    </row>
    <row r="9" spans="2:15" x14ac:dyDescent="0.45">
      <c r="B9" s="75" t="s">
        <v>845</v>
      </c>
      <c r="C9" s="75" t="str">
        <f>VLOOKUP(B9,'2603실제'!$D:$E,2,0)</f>
        <v>일반BS</v>
      </c>
      <c r="D9" s="75" t="s">
        <v>791</v>
      </c>
      <c r="E9" s="75" t="s">
        <v>792</v>
      </c>
      <c r="F9" s="75" t="s">
        <v>793</v>
      </c>
      <c r="G9" s="75" t="str">
        <f t="shared" si="0"/>
        <v>이천만원 (\20,000,000원)</v>
      </c>
      <c r="H9" s="75" t="str">
        <f>VLOOKUP(B9,'25년계약체결리스트'!$B:$K,7,0)</f>
        <v>일룸 덕진점</v>
      </c>
      <c r="I9" s="75" t="str">
        <f>VLOOKUP(B9,'25년계약체결리스트'!$B:$O,8,0)</f>
        <v>418-06-94448</v>
      </c>
      <c r="J9" s="75" t="str">
        <f>VLOOKUP(B9,'25년계약체결리스트'!$B:$O,9,0)</f>
        <v>유 수 정</v>
      </c>
      <c r="K9" s="75" t="str">
        <f>VLOOKUP(B9,'25년계약체결리스트'!$B:$O,10,0)</f>
        <v>전북 전주시 덕진구 송천중앙로 6</v>
      </c>
      <c r="L9" s="126" t="s">
        <v>1210</v>
      </c>
      <c r="M9" s="126" t="s">
        <v>1211</v>
      </c>
      <c r="N9" s="75" t="str">
        <f t="shared" si="1"/>
        <v>2026년 4월 1일 ~ 2027년 3월 31일</v>
      </c>
      <c r="O9" s="75" t="str">
        <f>VLOOKUP(B9,'25년계약체결리스트'!$B:$O,14,0)</f>
        <v>elioom@nate.com</v>
      </c>
    </row>
    <row r="10" spans="2:15" x14ac:dyDescent="0.45">
      <c r="B10" s="75" t="s">
        <v>851</v>
      </c>
      <c r="C10" s="75" t="str">
        <f>VLOOKUP(B10,'2603실제'!$D:$E,2,0)</f>
        <v>일반BS</v>
      </c>
      <c r="D10" s="75" t="s">
        <v>791</v>
      </c>
      <c r="E10" s="75" t="s">
        <v>792</v>
      </c>
      <c r="F10" s="75" t="s">
        <v>793</v>
      </c>
      <c r="G10" s="75" t="str">
        <f t="shared" si="0"/>
        <v>이천만원 (\20,000,000원)</v>
      </c>
      <c r="H10" s="75" t="str">
        <f>VLOOKUP(B10,'25년계약체결리스트'!$B:$K,7,0)</f>
        <v>퍼시스스마트OPC(극동)</v>
      </c>
      <c r="I10" s="75" t="str">
        <f>VLOOKUP(B10,'25년계약체결리스트'!$B:$O,8,0)</f>
        <v>608-47-60393</v>
      </c>
      <c r="J10" s="75" t="str">
        <f>VLOOKUP(B10,'25년계약체결리스트'!$B:$O,9,0)</f>
        <v>강 호 근</v>
      </c>
      <c r="K10" s="75" t="str">
        <f>VLOOKUP(B10,'25년계약체결리스트'!$B:$O,10,0)</f>
        <v>경남 창원시 마산회원구 봉양로 187(봉암동)</v>
      </c>
      <c r="L10" s="126" t="s">
        <v>1210</v>
      </c>
      <c r="M10" s="126" t="s">
        <v>1211</v>
      </c>
      <c r="N10" s="75" t="str">
        <f t="shared" si="1"/>
        <v>2026년 4월 1일 ~ 2027년 3월 31일</v>
      </c>
      <c r="O10" s="75" t="str">
        <f>VLOOKUP(B10,'25년계약체결리스트'!$B:$O,14,0)</f>
        <v>smartopc@naver.com</v>
      </c>
    </row>
    <row r="11" spans="2:15" x14ac:dyDescent="0.45">
      <c r="B11" s="75" t="s">
        <v>857</v>
      </c>
      <c r="C11" s="75" t="str">
        <f>VLOOKUP(B11,'2603실제'!$D:$E,2,0)</f>
        <v>일반BS</v>
      </c>
      <c r="D11" s="75" t="s">
        <v>791</v>
      </c>
      <c r="E11" s="75" t="s">
        <v>792</v>
      </c>
      <c r="F11" s="75" t="s">
        <v>793</v>
      </c>
      <c r="G11" s="75" t="str">
        <f t="shared" si="0"/>
        <v>이천만원 (\20,000,000원)</v>
      </c>
      <c r="H11" s="75" t="str">
        <f>VLOOKUP(B11,'25년계약체결리스트'!$B:$K,7,0)</f>
        <v>주식회사 일룸앤데스커</v>
      </c>
      <c r="I11" s="75" t="str">
        <f>VLOOKUP(B11,'25년계약체결리스트'!$B:$O,8,0)</f>
        <v>408-88-02821</v>
      </c>
      <c r="J11" s="75" t="str">
        <f>VLOOKUP(B11,'25년계약체결리스트'!$B:$O,9,0)</f>
        <v>조 평 호</v>
      </c>
      <c r="K11" s="75" t="str">
        <f>VLOOKUP(B11,'25년계약체결리스트'!$B:$O,10,0)</f>
        <v>광주광역시 남구 봉선로 16 (주월동) 1층</v>
      </c>
      <c r="L11" s="126" t="s">
        <v>1210</v>
      </c>
      <c r="M11" s="126" t="s">
        <v>1211</v>
      </c>
      <c r="N11" s="75" t="str">
        <f t="shared" si="1"/>
        <v>2026년 4월 1일 ~ 2027년 3월 31일</v>
      </c>
      <c r="O11" s="75" t="str">
        <f>VLOOKUP(B11,'25년계약체결리스트'!$B:$O,14,0)</f>
        <v>gagu0512@naver.com</v>
      </c>
    </row>
    <row r="12" spans="2:15" x14ac:dyDescent="0.45">
      <c r="B12" s="77" t="s">
        <v>863</v>
      </c>
      <c r="C12" s="77" t="str">
        <f>VLOOKUP(B12,'2603실제'!$D:$E,2,0)</f>
        <v>일반BS</v>
      </c>
      <c r="D12" s="77" t="s">
        <v>791</v>
      </c>
      <c r="E12" s="77" t="s">
        <v>792</v>
      </c>
      <c r="F12" s="77" t="s">
        <v>793</v>
      </c>
      <c r="G12" s="77" t="str">
        <f t="shared" si="0"/>
        <v>이천만원 (\20,000,000원)</v>
      </c>
      <c r="H12" s="77" t="str">
        <f>VLOOKUP(B12,'25년계약체결리스트'!$B:$K,7,0)</f>
        <v>일룸 부천점</v>
      </c>
      <c r="I12" s="77" t="str">
        <f>VLOOKUP(B12,'25년계약체결리스트'!$B:$O,8,0)</f>
        <v>313-36-00088</v>
      </c>
      <c r="J12" s="77" t="str">
        <f>VLOOKUP(B12,'25년계약체결리스트'!$B:$O,9,0)</f>
        <v>최 민 영</v>
      </c>
      <c r="K12" s="77" t="str">
        <f>VLOOKUP(B12,'25년계약체결리스트'!$B:$O,10,0)</f>
        <v>경기 부천시 길주로 462</v>
      </c>
      <c r="L12" s="78" t="s">
        <v>1210</v>
      </c>
      <c r="M12" s="130" t="s">
        <v>1212</v>
      </c>
      <c r="N12" s="77" t="str">
        <f t="shared" si="1"/>
        <v>2026년 4월 1일 ~ 2026년 12월 31일</v>
      </c>
      <c r="O12" s="75" t="str">
        <f>VLOOKUP(B12,'25년계약체결리스트'!$B:$O,14,0)</f>
        <v>iloombc@naver.com</v>
      </c>
    </row>
    <row r="13" spans="2:15" x14ac:dyDescent="0.45">
      <c r="B13" s="75" t="s">
        <v>871</v>
      </c>
      <c r="C13" s="75" t="str">
        <f>VLOOKUP(B13,'2603실제'!$D:$E,2,0)</f>
        <v>일반BS</v>
      </c>
      <c r="D13" s="75" t="s">
        <v>791</v>
      </c>
      <c r="E13" s="75" t="s">
        <v>792</v>
      </c>
      <c r="F13" s="75" t="s">
        <v>793</v>
      </c>
      <c r="G13" s="75" t="str">
        <f t="shared" si="0"/>
        <v>이천만원 (\20,000,000원)</v>
      </c>
      <c r="H13" s="75" t="str">
        <f>VLOOKUP(B13,'25년계약체결리스트'!$B:$K,7,0)</f>
        <v>일룸분당점</v>
      </c>
      <c r="I13" s="75" t="str">
        <f>VLOOKUP(B13,'25년계약체결리스트'!$B:$O,8,0)</f>
        <v>135-10-97912</v>
      </c>
      <c r="J13" s="75" t="str">
        <f>VLOOKUP(B13,'25년계약체결리스트'!$B:$O,9,0)</f>
        <v>최 상 헌</v>
      </c>
      <c r="K13" s="75" t="str">
        <f>VLOOKUP(B13,'25년계약체결리스트'!$B:$O,10,0)</f>
        <v>경기도 성남시 분당구 대왕판교로214</v>
      </c>
      <c r="L13" s="126" t="s">
        <v>1210</v>
      </c>
      <c r="M13" s="126" t="s">
        <v>1211</v>
      </c>
      <c r="N13" s="75" t="str">
        <f t="shared" si="1"/>
        <v>2026년 4월 1일 ~ 2027년 3월 31일</v>
      </c>
      <c r="O13" s="75" t="str">
        <f>VLOOKUP(B13,'25년계약체결리스트'!$B:$O,14,0)</f>
        <v>csh6797@naver.com</v>
      </c>
    </row>
    <row r="14" spans="2:15" x14ac:dyDescent="0.45">
      <c r="B14" s="75" t="s">
        <v>1213</v>
      </c>
      <c r="C14" s="75" t="str">
        <f>VLOOKUP(B14,'2603실제'!$D:$E,2,0)</f>
        <v>일반BS</v>
      </c>
      <c r="D14" s="75" t="s">
        <v>791</v>
      </c>
      <c r="E14" s="75" t="s">
        <v>792</v>
      </c>
      <c r="F14" s="75" t="s">
        <v>793</v>
      </c>
      <c r="G14" s="75" t="str">
        <f t="shared" si="0"/>
        <v>이천만원 (\20,000,000원)</v>
      </c>
      <c r="H14" s="75" t="str">
        <f>VLOOKUP(B14,'25년계약체결리스트'!$B:$K,7,0)</f>
        <v>일룸빛고을점</v>
      </c>
      <c r="I14" s="75" t="str">
        <f>VLOOKUP(B14,'25년계약체결리스트'!$B:$O,8,0)</f>
        <v>415-48-01330</v>
      </c>
      <c r="J14" s="75" t="str">
        <f>VLOOKUP(B14,'25년계약체결리스트'!$B:$O,9,0)</f>
        <v>최 정 우</v>
      </c>
      <c r="K14" s="75" t="str">
        <f>VLOOKUP(B14,'25년계약체결리스트'!$B:$O,10,0)</f>
        <v>광주광역시 광산구 하남대로 352, 3층(신가동)</v>
      </c>
      <c r="L14" s="126" t="s">
        <v>1210</v>
      </c>
      <c r="M14" s="126" t="s">
        <v>1211</v>
      </c>
      <c r="N14" s="75" t="str">
        <f t="shared" si="1"/>
        <v>2026년 4월 1일 ~ 2027년 3월 31일</v>
      </c>
      <c r="O14" s="75" t="str">
        <f>VLOOKUP(B14,'25년계약체결리스트'!$B:$O,14,0)</f>
        <v>woowby@naver.com</v>
      </c>
    </row>
    <row r="15" spans="2:15" x14ac:dyDescent="0.45">
      <c r="B15" s="75" t="s">
        <v>883</v>
      </c>
      <c r="C15" s="75" t="str">
        <f>VLOOKUP(B15,'2603실제'!$D:$E,2,0)</f>
        <v>일반BS</v>
      </c>
      <c r="D15" s="75" t="s">
        <v>791</v>
      </c>
      <c r="E15" s="75" t="s">
        <v>792</v>
      </c>
      <c r="F15" s="75" t="s">
        <v>793</v>
      </c>
      <c r="G15" s="75" t="str">
        <f t="shared" si="0"/>
        <v>이천만원 (\20,000,000원)</v>
      </c>
      <c r="H15" s="75" t="str">
        <f>VLOOKUP(B15,'25년계약체결리스트'!$B:$K,7,0)</f>
        <v>일룸서대전점2</v>
      </c>
      <c r="I15" s="75" t="str">
        <f>VLOOKUP(B15,'25년계약체결리스트'!$B:$O,8,0)</f>
        <v>305-29-60452</v>
      </c>
      <c r="J15" s="75" t="str">
        <f>VLOOKUP(B15,'25년계약체결리스트'!$B:$O,9,0)</f>
        <v>김 영 애</v>
      </c>
      <c r="K15" s="75" t="str">
        <f>VLOOKUP(B15,'25년계약체결리스트'!$B:$O,10,0)</f>
        <v>대전 중구 중앙로 8 (문화동, 가구갤러리 8층)</v>
      </c>
      <c r="L15" s="126" t="s">
        <v>1210</v>
      </c>
      <c r="M15" s="126" t="s">
        <v>1211</v>
      </c>
      <c r="N15" s="75" t="str">
        <f t="shared" si="1"/>
        <v>2026년 4월 1일 ~ 2027년 3월 31일</v>
      </c>
      <c r="O15" s="75" t="str">
        <f>VLOOKUP(B15,'25년계약체결리스트'!$B:$O,14,0)</f>
        <v>iloom7052@hanmail.net</v>
      </c>
    </row>
    <row r="16" spans="2:15" x14ac:dyDescent="0.45">
      <c r="B16" s="75" t="s">
        <v>1214</v>
      </c>
      <c r="C16" s="75" t="str">
        <f>VLOOKUP(B16,'2603실제'!$D:$E,2,0)</f>
        <v>일반BS</v>
      </c>
      <c r="D16" s="75" t="s">
        <v>791</v>
      </c>
      <c r="E16" s="75" t="s">
        <v>792</v>
      </c>
      <c r="F16" s="75" t="s">
        <v>793</v>
      </c>
      <c r="G16" s="75" t="str">
        <f t="shared" si="0"/>
        <v>이천만원 (\20,000,000원)</v>
      </c>
      <c r="H16" s="75" t="s">
        <v>890</v>
      </c>
      <c r="I16" s="75" t="s">
        <v>1215</v>
      </c>
      <c r="J16" s="75" t="s">
        <v>1216</v>
      </c>
      <c r="K16" s="75" t="s">
        <v>1217</v>
      </c>
      <c r="L16" s="126" t="s">
        <v>1210</v>
      </c>
      <c r="M16" s="126" t="s">
        <v>1211</v>
      </c>
      <c r="N16" s="75" t="str">
        <f t="shared" si="1"/>
        <v>2026년 4월 1일 ~ 2027년 3월 31일</v>
      </c>
      <c r="O16" s="75" t="e">
        <f>VLOOKUP(B16,'25년계약체결리스트'!$B:$O,14,0)</f>
        <v>#N/A</v>
      </c>
    </row>
    <row r="17" spans="2:15" x14ac:dyDescent="0.45">
      <c r="B17" s="75" t="s">
        <v>895</v>
      </c>
      <c r="C17" s="75" t="str">
        <f>VLOOKUP(B17,'2603실제'!$D:$E,2,0)</f>
        <v>일반BS</v>
      </c>
      <c r="D17" s="75" t="s">
        <v>791</v>
      </c>
      <c r="E17" s="75" t="s">
        <v>792</v>
      </c>
      <c r="F17" s="75" t="s">
        <v>793</v>
      </c>
      <c r="G17" s="75" t="str">
        <f t="shared" si="0"/>
        <v>이천만원 (\20,000,000원)</v>
      </c>
      <c r="H17" s="75" t="str">
        <f>VLOOKUP(B17,'25년계약체결리스트'!$B:$K,7,0)</f>
        <v>일룸 세종점</v>
      </c>
      <c r="I17" s="75" t="str">
        <f>VLOOKUP(B17,'25년계약체결리스트'!$B:$O,8,0)</f>
        <v>760-33-00129</v>
      </c>
      <c r="J17" s="75" t="str">
        <f>VLOOKUP(B17,'25년계약체결리스트'!$B:$O,9,0)</f>
        <v>박정나, 이상연</v>
      </c>
      <c r="K17" s="75" t="str">
        <f>VLOOKUP(B17,'25년계약체결리스트'!$B:$O,10,0)</f>
        <v>세종 아름동 1313 정원타워 3,4층</v>
      </c>
      <c r="L17" s="126" t="s">
        <v>1210</v>
      </c>
      <c r="M17" s="126" t="s">
        <v>1211</v>
      </c>
      <c r="N17" s="75" t="str">
        <f t="shared" si="1"/>
        <v>2026년 4월 1일 ~ 2027년 3월 31일</v>
      </c>
      <c r="O17" s="75" t="str">
        <f>VLOOKUP(B17,'25년계약체결리스트'!$B:$O,14,0)</f>
        <v>iloomsejong2016@daum.net</v>
      </c>
    </row>
    <row r="18" spans="2:15" x14ac:dyDescent="0.45">
      <c r="B18" s="75" t="s">
        <v>901</v>
      </c>
      <c r="C18" s="75" t="str">
        <f>VLOOKUP(B18,'2603실제'!$D:$E,2,0)</f>
        <v>일반BS</v>
      </c>
      <c r="D18" s="75" t="s">
        <v>791</v>
      </c>
      <c r="E18" s="75" t="s">
        <v>792</v>
      </c>
      <c r="F18" s="75" t="s">
        <v>793</v>
      </c>
      <c r="G18" s="75" t="str">
        <f t="shared" si="0"/>
        <v>이천만원 (\20,000,000원)</v>
      </c>
      <c r="H18" s="75" t="str">
        <f>VLOOKUP(B18,'25년계약체결리스트'!$B:$K,7,0)</f>
        <v>일룸수성점</v>
      </c>
      <c r="I18" s="75" t="str">
        <f>VLOOKUP(B18,'25년계약체결리스트'!$B:$O,8,0)</f>
        <v>502-21-75604</v>
      </c>
      <c r="J18" s="75" t="str">
        <f>VLOOKUP(B18,'25년계약체결리스트'!$B:$O,9,0)</f>
        <v>조진희, 차인호</v>
      </c>
      <c r="K18" s="75" t="str">
        <f>VLOOKUP(B18,'25년계약체결리스트'!$B:$O,10,0)</f>
        <v>대구 수성구 희망로 152</v>
      </c>
      <c r="L18" s="126" t="s">
        <v>1210</v>
      </c>
      <c r="M18" s="126" t="s">
        <v>1211</v>
      </c>
      <c r="N18" s="75" t="str">
        <f t="shared" si="1"/>
        <v>2026년 4월 1일 ~ 2027년 3월 31일</v>
      </c>
      <c r="O18" s="75" t="str">
        <f>VLOOKUP(B18,'25년계약체결리스트'!$B:$O,14,0)</f>
        <v>wlsl4258@hanmail.net</v>
      </c>
    </row>
    <row r="19" spans="2:15" x14ac:dyDescent="0.45">
      <c r="B19" s="75" t="s">
        <v>907</v>
      </c>
      <c r="C19" s="75" t="str">
        <f>VLOOKUP(B19,'2603실제'!$D:$E,2,0)</f>
        <v>일반BS</v>
      </c>
      <c r="D19" s="75" t="s">
        <v>791</v>
      </c>
      <c r="E19" s="75" t="s">
        <v>792</v>
      </c>
      <c r="F19" s="75" t="s">
        <v>793</v>
      </c>
      <c r="G19" s="75" t="str">
        <f t="shared" si="0"/>
        <v>이천만원 (\20,000,000원)</v>
      </c>
      <c r="H19" s="75" t="str">
        <f>VLOOKUP(B19,'25년계약체결리스트'!$B:$K,7,0)</f>
        <v>주식회사 일룸</v>
      </c>
      <c r="I19" s="75" t="str">
        <f>VLOOKUP(B19,'25년계약체결리스트'!$B:$O,8,0)</f>
        <v>142-88-00388</v>
      </c>
      <c r="J19" s="75" t="str">
        <f>VLOOKUP(B19,'25년계약체결리스트'!$B:$O,9,0)</f>
        <v>김 대 현</v>
      </c>
      <c r="K19" s="75" t="str">
        <f>VLOOKUP(B19,'25년계약체결리스트'!$B:$O,10,0)</f>
        <v>전남 순천시 중앙로 118</v>
      </c>
      <c r="L19" s="126" t="s">
        <v>1210</v>
      </c>
      <c r="M19" s="126" t="s">
        <v>1211</v>
      </c>
      <c r="N19" s="75" t="str">
        <f t="shared" si="1"/>
        <v>2026년 4월 1일 ~ 2027년 3월 31일</v>
      </c>
      <c r="O19" s="75" t="str">
        <f>VLOOKUP(B19,'25년계약체결리스트'!$B:$O,14,0)</f>
        <v>popeyes2@hanmail.net</v>
      </c>
    </row>
    <row r="20" spans="2:15" x14ac:dyDescent="0.45">
      <c r="B20" s="75" t="s">
        <v>919</v>
      </c>
      <c r="C20" s="75" t="str">
        <f>VLOOKUP(B20,'2603실제'!$D:$E,2,0)</f>
        <v>일반BS</v>
      </c>
      <c r="D20" s="75" t="s">
        <v>791</v>
      </c>
      <c r="E20" s="75" t="s">
        <v>792</v>
      </c>
      <c r="F20" s="75" t="s">
        <v>793</v>
      </c>
      <c r="G20" s="75" t="str">
        <f t="shared" si="0"/>
        <v>이천만원 (\20,000,000원)</v>
      </c>
      <c r="H20" s="75" t="str">
        <f>VLOOKUP(B20,'25년계약체결리스트'!$B:$K,7,0)</f>
        <v>일룸안동점</v>
      </c>
      <c r="I20" s="75" t="str">
        <f>VLOOKUP(B20,'25년계약체결리스트'!$B:$O,8,0)</f>
        <v>511-08-44988</v>
      </c>
      <c r="J20" s="75" t="str">
        <f>VLOOKUP(B20,'25년계약체결리스트'!$B:$O,9,0)</f>
        <v>조현주, 박주홍</v>
      </c>
      <c r="K20" s="75" t="str">
        <f>VLOOKUP(B20,'25년계약체결리스트'!$B:$O,10,0)</f>
        <v>경북 안동시 하이마로 151</v>
      </c>
      <c r="L20" s="126" t="s">
        <v>1210</v>
      </c>
      <c r="M20" s="126" t="s">
        <v>1211</v>
      </c>
      <c r="N20" s="75" t="str">
        <f t="shared" si="1"/>
        <v>2026년 4월 1일 ~ 2027년 3월 31일</v>
      </c>
      <c r="O20" s="75" t="str">
        <f>VLOOKUP(B20,'25년계약체결리스트'!$B:$O,14,0)</f>
        <v>amaxs@hanmail.net</v>
      </c>
    </row>
    <row r="21" spans="2:15" x14ac:dyDescent="0.45">
      <c r="B21" s="77" t="s">
        <v>925</v>
      </c>
      <c r="C21" s="77" t="str">
        <f>VLOOKUP(B21,'2603실제'!$D:$E,2,0)</f>
        <v>일반BS</v>
      </c>
      <c r="D21" s="77" t="s">
        <v>791</v>
      </c>
      <c r="E21" s="77" t="s">
        <v>792</v>
      </c>
      <c r="F21" s="77" t="s">
        <v>793</v>
      </c>
      <c r="G21" s="77" t="str">
        <f t="shared" si="0"/>
        <v>이천만원 (\20,000,000원)</v>
      </c>
      <c r="H21" s="77" t="str">
        <f>VLOOKUP(B21,'25년계약체결리스트'!$B:$K,7,0)</f>
        <v>일룸안산상록수점</v>
      </c>
      <c r="I21" s="77" t="str">
        <f>VLOOKUP(B21,'25년계약체결리스트'!$B:$O,8,0)</f>
        <v>207-04-55609</v>
      </c>
      <c r="J21" s="77" t="str">
        <f>VLOOKUP(B21,'25년계약체결리스트'!$B:$O,9,0)</f>
        <v>노 수 민</v>
      </c>
      <c r="K21" s="77" t="str">
        <f>VLOOKUP(B21,'25년계약체결리스트'!$B:$O,10,0)</f>
        <v>경기 안산시 상록구 용신로 451-1(본오동,1,2층)</v>
      </c>
      <c r="L21" s="78" t="s">
        <v>1210</v>
      </c>
      <c r="M21" s="130" t="s">
        <v>1218</v>
      </c>
      <c r="N21" s="77" t="str">
        <f t="shared" si="1"/>
        <v>2026년 4월 1일 ~ 2026년 9월 16일</v>
      </c>
      <c r="O21" s="75" t="str">
        <f>VLOOKUP(B21,'25년계약체결리스트'!$B:$O,14,0)</f>
        <v>wish2199@naver.com</v>
      </c>
    </row>
    <row r="22" spans="2:15" x14ac:dyDescent="0.45">
      <c r="B22" s="75" t="s">
        <v>931</v>
      </c>
      <c r="C22" s="75" t="str">
        <f>VLOOKUP(B22,'2603실제'!$D:$E,2,0)</f>
        <v>일반BS</v>
      </c>
      <c r="D22" s="75" t="s">
        <v>791</v>
      </c>
      <c r="E22" s="75" t="s">
        <v>792</v>
      </c>
      <c r="F22" s="75" t="s">
        <v>793</v>
      </c>
      <c r="G22" s="75" t="str">
        <f t="shared" si="0"/>
        <v>이천만원 (\20,000,000원)</v>
      </c>
      <c r="H22" s="75" t="str">
        <f>VLOOKUP(B22,'25년계약체결리스트'!$B:$K,7,0)</f>
        <v>일룸양산점</v>
      </c>
      <c r="I22" s="75" t="str">
        <f>VLOOKUP(B22,'25년계약체결리스트'!$B:$O,8,0)</f>
        <v>463-03-00712</v>
      </c>
      <c r="J22" s="75" t="str">
        <f>VLOOKUP(B22,'25년계약체결리스트'!$B:$O,9,0)</f>
        <v>남 명 현</v>
      </c>
      <c r="K22" s="75" t="str">
        <f>VLOOKUP(B22,'25년계약체결리스트'!$B:$O,10,0)</f>
        <v>경남 양산시 물금읍 황산로 497</v>
      </c>
      <c r="L22" s="126" t="s">
        <v>1210</v>
      </c>
      <c r="M22" s="126" t="s">
        <v>1211</v>
      </c>
      <c r="N22" s="75" t="str">
        <f t="shared" si="1"/>
        <v>2026년 4월 1일 ~ 2027년 3월 31일</v>
      </c>
      <c r="O22" s="75" t="str">
        <f>VLOOKUP(B22,'25년계약체결리스트'!$B:$O,14,0)</f>
        <v>godid56@nate.com</v>
      </c>
    </row>
    <row r="23" spans="2:15" x14ac:dyDescent="0.45">
      <c r="B23" s="75" t="s">
        <v>937</v>
      </c>
      <c r="C23" s="75" t="str">
        <f>VLOOKUP(B23,'2603실제'!$D:$E,2,0)</f>
        <v>일반BS</v>
      </c>
      <c r="D23" s="75" t="s">
        <v>791</v>
      </c>
      <c r="E23" s="75" t="s">
        <v>792</v>
      </c>
      <c r="F23" s="75" t="s">
        <v>793</v>
      </c>
      <c r="G23" s="75" t="str">
        <f t="shared" si="0"/>
        <v>이천만원 (\20,000,000원)</v>
      </c>
      <c r="H23" s="75" t="str">
        <f>VLOOKUP(B23,'25년계약체결리스트'!$B:$K,7,0)</f>
        <v>(주)일룸연제점</v>
      </c>
      <c r="I23" s="75" t="str">
        <f>VLOOKUP(B23,'25년계약체결리스트'!$B:$O,8,0)</f>
        <v>388-87-01424</v>
      </c>
      <c r="J23" s="75" t="str">
        <f>VLOOKUP(B23,'25년계약체결리스트'!$B:$O,9,0)</f>
        <v>이 철 희</v>
      </c>
      <c r="K23" s="75" t="str">
        <f>VLOOKUP(B23,'25년계약체결리스트'!$B:$O,10,0)</f>
        <v>부산 연제구 거제대로 297, 2~3층</v>
      </c>
      <c r="L23" s="126" t="s">
        <v>1210</v>
      </c>
      <c r="M23" s="126" t="s">
        <v>1211</v>
      </c>
      <c r="N23" s="75" t="str">
        <f t="shared" si="1"/>
        <v>2026년 4월 1일 ~ 2027년 3월 31일</v>
      </c>
      <c r="O23" s="75" t="str">
        <f>VLOOKUP(B23,'25년계약체결리스트'!$B:$O,14,0)</f>
        <v>auk0903@naver.com</v>
      </c>
    </row>
    <row r="24" spans="2:15" x14ac:dyDescent="0.45">
      <c r="B24" s="75" t="s">
        <v>1219</v>
      </c>
      <c r="C24" s="75" t="str">
        <f>VLOOKUP(B24,'2603실제'!$D:$E,2,0)</f>
        <v>일반BS</v>
      </c>
      <c r="D24" s="75" t="s">
        <v>791</v>
      </c>
      <c r="E24" s="75" t="s">
        <v>792</v>
      </c>
      <c r="F24" s="75" t="s">
        <v>793</v>
      </c>
      <c r="G24" s="75" t="str">
        <f t="shared" si="0"/>
        <v>이천만원 (\20,000,000원)</v>
      </c>
      <c r="H24" s="75" t="s">
        <v>1093</v>
      </c>
      <c r="I24" s="75" t="s">
        <v>1094</v>
      </c>
      <c r="J24" s="75" t="s">
        <v>1095</v>
      </c>
      <c r="K24" s="75" t="s">
        <v>1220</v>
      </c>
      <c r="L24" s="126" t="s">
        <v>1210</v>
      </c>
      <c r="M24" s="126" t="s">
        <v>1211</v>
      </c>
      <c r="N24" s="75" t="str">
        <f t="shared" si="1"/>
        <v>2026년 4월 1일 ~ 2027년 3월 31일</v>
      </c>
      <c r="O24" s="75" t="str">
        <f>VLOOKUP("울산4",'25년계약체결리스트'!$B:$O,14,0)</f>
        <v>gorgeouc@naver.com</v>
      </c>
    </row>
    <row r="25" spans="2:15" x14ac:dyDescent="0.45">
      <c r="B25" s="75" t="s">
        <v>943</v>
      </c>
      <c r="C25" s="75" t="str">
        <f>VLOOKUP(B25,'2603실제'!$D:$E,2,0)</f>
        <v>일반BS</v>
      </c>
      <c r="D25" s="75" t="s">
        <v>791</v>
      </c>
      <c r="E25" s="75" t="s">
        <v>792</v>
      </c>
      <c r="F25" s="75" t="s">
        <v>793</v>
      </c>
      <c r="G25" s="75" t="str">
        <f t="shared" si="0"/>
        <v>이천만원 (\20,000,000원)</v>
      </c>
      <c r="H25" s="75" t="str">
        <f>VLOOKUP(B25,'25년계약체결리스트'!$B:$K,7,0)</f>
        <v>일룸원주점</v>
      </c>
      <c r="I25" s="75" t="str">
        <f>VLOOKUP(B25,'25년계약체결리스트'!$B:$O,8,0)</f>
        <v>224-07-71963</v>
      </c>
      <c r="J25" s="75" t="str">
        <f>VLOOKUP(B25,'25년계약체결리스트'!$B:$O,9,0)</f>
        <v>이 정 복</v>
      </c>
      <c r="K25" s="75" t="str">
        <f>VLOOKUP(B25,'25년계약체결리스트'!$B:$O,10,0)</f>
        <v>강원 원주시 호저면 원문로 668-9 만종가구단지 2층</v>
      </c>
      <c r="L25" s="126" t="s">
        <v>1210</v>
      </c>
      <c r="M25" s="126" t="s">
        <v>1211</v>
      </c>
      <c r="N25" s="75" t="str">
        <f t="shared" si="1"/>
        <v>2026년 4월 1일 ~ 2027년 3월 31일</v>
      </c>
      <c r="O25" s="75" t="str">
        <f>VLOOKUP(B25,'25년계약체결리스트'!$B:$O,14,0)</f>
        <v>jungbok35@hanmail.net</v>
      </c>
    </row>
    <row r="26" spans="2:15" x14ac:dyDescent="0.45">
      <c r="B26" s="75" t="s">
        <v>955</v>
      </c>
      <c r="C26" s="75" t="str">
        <f>VLOOKUP(B26,'2603실제'!$D:$E,2,0)</f>
        <v>일반BS</v>
      </c>
      <c r="D26" s="75" t="s">
        <v>791</v>
      </c>
      <c r="E26" s="75" t="s">
        <v>792</v>
      </c>
      <c r="F26" s="75" t="s">
        <v>793</v>
      </c>
      <c r="G26" s="75" t="str">
        <f t="shared" si="0"/>
        <v>이천만원 (\20,000,000원)</v>
      </c>
      <c r="H26" s="75" t="str">
        <f>VLOOKUP(B26,'25년계약체결리스트'!$B:$K,7,0)</f>
        <v>일룸의정부브랜드샵</v>
      </c>
      <c r="I26" s="75" t="str">
        <f>VLOOKUP(B26,'25년계약체결리스트'!$B:$O,8,0)</f>
        <v>550-88-00221</v>
      </c>
      <c r="J26" s="75" t="str">
        <f>VLOOKUP(B26,'25년계약체결리스트'!$B:$O,9,0)</f>
        <v>이 경 숙</v>
      </c>
      <c r="K26" s="75" t="str">
        <f>VLOOKUP(B26,'25년계약체결리스트'!$B:$O,10,0)</f>
        <v>경기 의정부시 민락로 397</v>
      </c>
      <c r="L26" s="126" t="s">
        <v>1210</v>
      </c>
      <c r="M26" s="126" t="s">
        <v>1211</v>
      </c>
      <c r="N26" s="75" t="str">
        <f t="shared" si="1"/>
        <v>2026년 4월 1일 ~ 2027년 3월 31일</v>
      </c>
      <c r="O26" s="75" t="str">
        <f>VLOOKUP(B26,'25년계약체결리스트'!$B:$O,14,0)</f>
        <v>jail5775@hanmail.net</v>
      </c>
    </row>
    <row r="27" spans="2:15" x14ac:dyDescent="0.45">
      <c r="B27" s="75" t="s">
        <v>961</v>
      </c>
      <c r="C27" s="75" t="str">
        <f>VLOOKUP(B27,'2603실제'!$D:$E,2,0)</f>
        <v>일반BS</v>
      </c>
      <c r="D27" s="75" t="s">
        <v>791</v>
      </c>
      <c r="E27" s="75" t="s">
        <v>792</v>
      </c>
      <c r="F27" s="75" t="s">
        <v>793</v>
      </c>
      <c r="G27" s="75" t="str">
        <f t="shared" si="0"/>
        <v>이천만원 (\20,000,000원)</v>
      </c>
      <c r="H27" s="75" t="str">
        <f>VLOOKUP(B27,'25년계약체결리스트'!$B:$K,7,0)</f>
        <v>(주)알루컴 인천점</v>
      </c>
      <c r="I27" s="75" t="str">
        <f>VLOOKUP(B27,'25년계약체결리스트'!$B:$O,8,0)</f>
        <v>105-85-41701</v>
      </c>
      <c r="J27" s="75" t="str">
        <f>VLOOKUP(B27,'25년계약체결리스트'!$B:$O,9,0)</f>
        <v>이 종 균</v>
      </c>
      <c r="K27" s="75" t="str">
        <f>VLOOKUP(B27,'25년계약체결리스트'!$B:$O,10,0)</f>
        <v>인천 남동구 인주대로 644</v>
      </c>
      <c r="L27" s="126" t="s">
        <v>1210</v>
      </c>
      <c r="M27" s="126" t="s">
        <v>1211</v>
      </c>
      <c r="N27" s="75" t="str">
        <f t="shared" si="1"/>
        <v>2026년 4월 1일 ~ 2027년 3월 31일</v>
      </c>
      <c r="O27" s="75" t="str">
        <f>VLOOKUP(B27,'25년계약체결리스트'!$B:$O,14,0)</f>
        <v>uggugg@nate.com</v>
      </c>
    </row>
    <row r="28" spans="2:15" x14ac:dyDescent="0.45">
      <c r="B28" s="75" t="s">
        <v>967</v>
      </c>
      <c r="C28" s="75" t="str">
        <f>VLOOKUP(B28,'2603실제'!$D:$E,2,0)</f>
        <v>일반BS</v>
      </c>
      <c r="D28" s="75" t="s">
        <v>791</v>
      </c>
      <c r="E28" s="75" t="s">
        <v>792</v>
      </c>
      <c r="F28" s="75" t="s">
        <v>793</v>
      </c>
      <c r="G28" s="75" t="str">
        <f t="shared" si="0"/>
        <v>이천만원 (\20,000,000원)</v>
      </c>
      <c r="H28" s="75" t="str">
        <f>VLOOKUP(B28,'25년계약체결리스트'!$B:$K,7,0)</f>
        <v>(주)플랜 디</v>
      </c>
      <c r="I28" s="75" t="str">
        <f>VLOOKUP(B28,'25년계약체결리스트'!$B:$O,8,0)</f>
        <v>670-81-01506</v>
      </c>
      <c r="J28" s="75" t="str">
        <f>VLOOKUP(B28,'25년계약체결리스트'!$B:$O,9,0)</f>
        <v>김정은, 안중협</v>
      </c>
      <c r="K28" s="75" t="str">
        <f>VLOOKUP(B28,'25년계약체결리스트'!$B:$O,10,0)</f>
        <v>경기도 고양시 일산서구 탄중로 120, 1~2동(덕이동)</v>
      </c>
      <c r="L28" s="126" t="s">
        <v>1210</v>
      </c>
      <c r="M28" s="126" t="s">
        <v>1211</v>
      </c>
      <c r="N28" s="75" t="str">
        <f t="shared" si="1"/>
        <v>2026년 4월 1일 ~ 2027년 3월 31일</v>
      </c>
      <c r="O28" s="75" t="str">
        <f>VLOOKUP(B28,'25년계약체결리스트'!$B:$O,14,0)</f>
        <v>garnet212@naver.com</v>
      </c>
    </row>
    <row r="29" spans="2:15" x14ac:dyDescent="0.45">
      <c r="B29" s="75" t="s">
        <v>973</v>
      </c>
      <c r="C29" s="75" t="str">
        <f>VLOOKUP(B29,'2603실제'!$D:$E,2,0)</f>
        <v>일반BS</v>
      </c>
      <c r="D29" s="75" t="s">
        <v>791</v>
      </c>
      <c r="E29" s="75" t="s">
        <v>792</v>
      </c>
      <c r="F29" s="75" t="s">
        <v>793</v>
      </c>
      <c r="G29" s="75" t="str">
        <f t="shared" si="0"/>
        <v>이천만원 (\20,000,000원)</v>
      </c>
      <c r="H29" s="75" t="str">
        <f>VLOOKUP(B29,'25년계약체결리스트'!$B:$K,7,0)</f>
        <v>일룸전군점</v>
      </c>
      <c r="I29" s="75" t="str">
        <f>VLOOKUP(B29,'25년계약체결리스트'!$B:$O,8,0)</f>
        <v>403-03-30193</v>
      </c>
      <c r="J29" s="75" t="str">
        <f>VLOOKUP(B29,'25년계약체결리스트'!$B:$O,9,0)</f>
        <v>안 상 준</v>
      </c>
      <c r="K29" s="75" t="str">
        <f>VLOOKUP(B29,'25년계약체결리스트'!$B:$O,10,0)</f>
        <v>전북 김제시 백구면 영상3길 28-26</v>
      </c>
      <c r="L29" s="126" t="s">
        <v>1210</v>
      </c>
      <c r="M29" s="126" t="s">
        <v>1211</v>
      </c>
      <c r="N29" s="75" t="str">
        <f t="shared" si="1"/>
        <v>2026년 4월 1일 ~ 2027년 3월 31일</v>
      </c>
      <c r="O29" s="75" t="str">
        <f>VLOOKUP(B29,'25년계약체결리스트'!$B:$O,14,0)</f>
        <v>iloom4200@naver.com</v>
      </c>
    </row>
    <row r="30" spans="2:15" x14ac:dyDescent="0.45">
      <c r="B30" s="75" t="s">
        <v>979</v>
      </c>
      <c r="C30" s="75" t="str">
        <f>VLOOKUP(B30,'2603실제'!$D:$E,2,0)</f>
        <v>일반BS</v>
      </c>
      <c r="D30" s="75" t="s">
        <v>791</v>
      </c>
      <c r="E30" s="75" t="s">
        <v>792</v>
      </c>
      <c r="F30" s="75" t="s">
        <v>793</v>
      </c>
      <c r="G30" s="75" t="str">
        <f t="shared" si="0"/>
        <v>이천만원 (\20,000,000원)</v>
      </c>
      <c r="H30" s="75" t="str">
        <f>VLOOKUP(B30,'25년계약체결리스트'!$B:$K,7,0)</f>
        <v>일룸중화산점</v>
      </c>
      <c r="I30" s="75" t="str">
        <f>VLOOKUP(B30,'25년계약체결리스트'!$B:$O,8,0)</f>
        <v>402-20-78721</v>
      </c>
      <c r="J30" s="75" t="str">
        <f>VLOOKUP(B30,'25년계약체결리스트'!$B:$O,9,0)</f>
        <v>양 유 진</v>
      </c>
      <c r="K30" s="75" t="str">
        <f>VLOOKUP(B30,'25년계약체결리스트'!$B:$O,10,0)</f>
        <v>전북 전주시 완산구 중화산동2가 528-6</v>
      </c>
      <c r="L30" s="126" t="s">
        <v>1210</v>
      </c>
      <c r="M30" s="126" t="s">
        <v>1211</v>
      </c>
      <c r="N30" s="75" t="str">
        <f t="shared" si="1"/>
        <v>2026년 4월 1일 ~ 2027년 3월 31일</v>
      </c>
      <c r="O30" s="75" t="str">
        <f>VLOOKUP(B30,'25년계약체결리스트'!$B:$O,14,0)</f>
        <v>power5550@hanmail.net</v>
      </c>
    </row>
    <row r="31" spans="2:15" x14ac:dyDescent="0.45">
      <c r="B31" s="75" t="s">
        <v>985</v>
      </c>
      <c r="C31" s="75" t="str">
        <f>VLOOKUP(B31,'2603실제'!$D:$E,2,0)</f>
        <v>일반BS</v>
      </c>
      <c r="D31" s="75" t="s">
        <v>791</v>
      </c>
      <c r="E31" s="75" t="s">
        <v>792</v>
      </c>
      <c r="F31" s="75" t="s">
        <v>793</v>
      </c>
      <c r="G31" s="75" t="str">
        <f t="shared" si="0"/>
        <v>이천만원 (\20,000,000원)</v>
      </c>
      <c r="H31" s="75" t="str">
        <f>VLOOKUP(B31,'25년계약체결리스트'!$B:$K,7,0)</f>
        <v>일룸진주점</v>
      </c>
      <c r="I31" s="75" t="str">
        <f>VLOOKUP(B31,'25년계약체결리스트'!$B:$O,8,0)</f>
        <v>613-06-76176</v>
      </c>
      <c r="J31" s="75" t="str">
        <f>VLOOKUP(B31,'25년계약체결리스트'!$B:$O,9,0)</f>
        <v>김지융, 김현실</v>
      </c>
      <c r="K31" s="75" t="str">
        <f>VLOOKUP(B31,'25년계약체결리스트'!$B:$O,10,0)</f>
        <v>경남 진주시 진주대로 638(가좌동)</v>
      </c>
      <c r="L31" s="126" t="s">
        <v>1210</v>
      </c>
      <c r="M31" s="126" t="s">
        <v>1211</v>
      </c>
      <c r="N31" s="75" t="str">
        <f t="shared" si="1"/>
        <v>2026년 4월 1일 ~ 2027년 3월 31일</v>
      </c>
      <c r="O31" s="75" t="str">
        <f>VLOOKUP(B31,'25년계약체결리스트'!$B:$O,14,0)</f>
        <v>rlduql_par@naver.com</v>
      </c>
    </row>
    <row r="32" spans="2:15" x14ac:dyDescent="0.45">
      <c r="B32" s="75" t="s">
        <v>991</v>
      </c>
      <c r="C32" s="75" t="str">
        <f>VLOOKUP(B32,'2603실제'!$D:$E,2,0)</f>
        <v>일반BS</v>
      </c>
      <c r="D32" s="75" t="s">
        <v>791</v>
      </c>
      <c r="E32" s="75" t="s">
        <v>792</v>
      </c>
      <c r="F32" s="75" t="s">
        <v>793</v>
      </c>
      <c r="G32" s="75" t="str">
        <f t="shared" si="0"/>
        <v>이천만원 (\20,000,000원)</v>
      </c>
      <c r="H32" s="75" t="str">
        <f>VLOOKUP(B32,'25년계약체결리스트'!$B:$K,7,0)</f>
        <v>(주)창원퍼시스</v>
      </c>
      <c r="I32" s="75" t="str">
        <f>VLOOKUP(B32,'25년계약체결리스트'!$B:$O,8,0)</f>
        <v>609-81-43386</v>
      </c>
      <c r="J32" s="75" t="str">
        <f>VLOOKUP(B32,'25년계약체결리스트'!$B:$O,9,0)</f>
        <v>정 진 환</v>
      </c>
      <c r="K32" s="75" t="str">
        <f>VLOOKUP(B32,'25년계약체결리스트'!$B:$O,10,0)</f>
        <v>경상남도 창원시 의창구 창원대로 360</v>
      </c>
      <c r="L32" s="126" t="s">
        <v>1210</v>
      </c>
      <c r="M32" s="126" t="s">
        <v>1211</v>
      </c>
      <c r="N32" s="75" t="str">
        <f t="shared" si="1"/>
        <v>2026년 4월 1일 ~ 2027년 3월 31일</v>
      </c>
      <c r="O32" s="75" t="str">
        <f>VLOOKUP(B32,'25년계약체결리스트'!$B:$O,14,0)</f>
        <v>su2774@nate.com</v>
      </c>
    </row>
    <row r="33" spans="2:16" x14ac:dyDescent="0.45">
      <c r="B33" s="75" t="s">
        <v>1003</v>
      </c>
      <c r="C33" s="75" t="str">
        <f>VLOOKUP(B33,'2603실제'!$D:$E,2,0)</f>
        <v>일반BS</v>
      </c>
      <c r="D33" s="75" t="s">
        <v>791</v>
      </c>
      <c r="E33" s="75" t="s">
        <v>792</v>
      </c>
      <c r="F33" s="75" t="s">
        <v>793</v>
      </c>
      <c r="G33" s="75" t="str">
        <f t="shared" si="0"/>
        <v>이천만원 (\20,000,000원)</v>
      </c>
      <c r="H33" s="75" t="str">
        <f>VLOOKUP(B33,'25년계약체결리스트'!$B:$K,7,0)</f>
        <v>일룸청남점</v>
      </c>
      <c r="I33" s="75" t="str">
        <f>VLOOKUP(B33,'25년계약체결리스트'!$B:$O,8,0)</f>
        <v>745-10-00252</v>
      </c>
      <c r="J33" s="75" t="str">
        <f>VLOOKUP(B33,'25년계약체결리스트'!$B:$O,9,0)</f>
        <v>박 종 상</v>
      </c>
      <c r="K33" s="75" t="str">
        <f>VLOOKUP(B33,'25년계약체결리스트'!$B:$O,10,0)</f>
        <v>충북 청주시 서원구 남이면 가구단지길 21-3 청남가구단지 105호</v>
      </c>
      <c r="L33" s="126" t="s">
        <v>1210</v>
      </c>
      <c r="M33" s="126" t="s">
        <v>1211</v>
      </c>
      <c r="N33" s="75" t="str">
        <f t="shared" si="1"/>
        <v>2026년 4월 1일 ~ 2027년 3월 31일</v>
      </c>
      <c r="O33" s="75" t="str">
        <f>VLOOKUP(B33,'25년계약체결리스트'!$B:$O,14,0)</f>
        <v>brqok@naver.com</v>
      </c>
    </row>
    <row r="34" spans="2:16" x14ac:dyDescent="0.45">
      <c r="B34" s="75" t="s">
        <v>1009</v>
      </c>
      <c r="C34" s="75" t="str">
        <f>VLOOKUP(B34,'2603실제'!$D:$E,2,0)</f>
        <v>일반BS</v>
      </c>
      <c r="D34" s="75" t="s">
        <v>791</v>
      </c>
      <c r="E34" s="75" t="s">
        <v>792</v>
      </c>
      <c r="F34" s="75" t="s">
        <v>793</v>
      </c>
      <c r="G34" s="75" t="str">
        <f t="shared" si="0"/>
        <v>이천만원 (\20,000,000원)</v>
      </c>
      <c r="H34" s="75" t="str">
        <f>VLOOKUP(B34,'25년계약체결리스트'!$B:$K,7,0)</f>
        <v>(주)조은파트너스</v>
      </c>
      <c r="I34" s="75" t="str">
        <f>VLOOKUP(B34,'25년계약체결리스트'!$B:$O,8,0)</f>
        <v>335-87-02787</v>
      </c>
      <c r="J34" s="75" t="str">
        <f>VLOOKUP(B34,'25년계약체결리스트'!$B:$O,9,0)</f>
        <v>최 현 수</v>
      </c>
      <c r="K34" s="75" t="str">
        <f>VLOOKUP(B34,'25년계약체결리스트'!$B:$O,10,0)</f>
        <v>충북 청주시 상당구 용암동 1587</v>
      </c>
      <c r="L34" s="126" t="s">
        <v>1210</v>
      </c>
      <c r="M34" s="126" t="s">
        <v>1211</v>
      </c>
      <c r="N34" s="75" t="str">
        <f t="shared" si="1"/>
        <v>2026년 4월 1일 ~ 2027년 3월 31일</v>
      </c>
      <c r="O34" s="75" t="str">
        <f>VLOOKUP(B34,'25년계약체결리스트'!$B:$O,14,0)</f>
        <v>iloom_cj@naver.com</v>
      </c>
    </row>
    <row r="35" spans="2:16" x14ac:dyDescent="0.45">
      <c r="B35" s="75" t="s">
        <v>1015</v>
      </c>
      <c r="C35" s="75" t="str">
        <f>VLOOKUP(B35,'2603실제'!$D:$E,2,0)</f>
        <v>일반BS</v>
      </c>
      <c r="D35" s="75" t="s">
        <v>791</v>
      </c>
      <c r="E35" s="75" t="s">
        <v>792</v>
      </c>
      <c r="F35" s="75" t="s">
        <v>793</v>
      </c>
      <c r="G35" s="75" t="str">
        <f t="shared" ref="G35:G66" si="2">E35&amp;" (\"&amp;F35&amp;")"</f>
        <v>이천만원 (\20,000,000원)</v>
      </c>
      <c r="H35" s="75" t="str">
        <f>VLOOKUP(B35,'25년계약체결리스트'!$B:$K,7,0)</f>
        <v>(주)일룸청주중앙점</v>
      </c>
      <c r="I35" s="75" t="str">
        <f>VLOOKUP(B35,'25년계약체결리스트'!$B:$O,8,0)</f>
        <v>785-86-00352</v>
      </c>
      <c r="J35" s="75" t="str">
        <f>VLOOKUP(B35,'25년계약체결리스트'!$B:$O,9,0)</f>
        <v>함 지 연</v>
      </c>
      <c r="K35" s="75" t="str">
        <f>VLOOKUP(B35,'25년계약체결리스트'!$B:$O,10,0)</f>
        <v>충북 청주시 흥덕구 강서로 55, 2층</v>
      </c>
      <c r="L35" s="126" t="s">
        <v>1210</v>
      </c>
      <c r="M35" s="126" t="s">
        <v>1211</v>
      </c>
      <c r="N35" s="75" t="str">
        <f t="shared" ref="N35:N66" si="3">L35&amp;" ~ "&amp;M35</f>
        <v>2026년 4월 1일 ~ 2027년 3월 31일</v>
      </c>
      <c r="O35" s="75" t="str">
        <f>VLOOKUP(B35,'25년계약체결리스트'!$B:$O,14,0)</f>
        <v>iloom1@nate.com</v>
      </c>
    </row>
    <row r="36" spans="2:16" x14ac:dyDescent="0.45">
      <c r="B36" s="75" t="s">
        <v>1021</v>
      </c>
      <c r="C36" s="75" t="str">
        <f>VLOOKUP(B36,'2603실제'!$D:$E,2,0)</f>
        <v>일반BS</v>
      </c>
      <c r="D36" s="75" t="s">
        <v>791</v>
      </c>
      <c r="E36" s="75" t="s">
        <v>792</v>
      </c>
      <c r="F36" s="75" t="s">
        <v>793</v>
      </c>
      <c r="G36" s="75" t="str">
        <f t="shared" si="2"/>
        <v>이천만원 (\20,000,000원)</v>
      </c>
      <c r="H36" s="75" t="str">
        <f>VLOOKUP(B36,'25년계약체결리스트'!$B:$K,7,0)</f>
        <v>퍼시스춘천전시장</v>
      </c>
      <c r="I36" s="75" t="str">
        <f>VLOOKUP(B36,'25년계약체결리스트'!$B:$O,8,0)</f>
        <v>221-02-56686</v>
      </c>
      <c r="J36" s="75" t="str">
        <f>VLOOKUP(B36,'25년계약체결리스트'!$B:$O,9,0)</f>
        <v>이 신 구</v>
      </c>
      <c r="K36" s="75" t="str">
        <f>VLOOKUP(B36,'25년계약체결리스트'!$B:$O,10,0)</f>
        <v>강원 춘천시 동면 만천리 700번지</v>
      </c>
      <c r="L36" s="126" t="s">
        <v>1210</v>
      </c>
      <c r="M36" s="126" t="s">
        <v>1211</v>
      </c>
      <c r="N36" s="75" t="str">
        <f t="shared" si="3"/>
        <v>2026년 4월 1일 ~ 2027년 3월 31일</v>
      </c>
      <c r="O36" s="75" t="str">
        <f>VLOOKUP(B36,'25년계약체결리스트'!$B:$O,14,0)</f>
        <v>2625577@gmail.com</v>
      </c>
    </row>
    <row r="37" spans="2:16" x14ac:dyDescent="0.45">
      <c r="B37" s="75" t="s">
        <v>1221</v>
      </c>
      <c r="C37" s="75" t="str">
        <f>VLOOKUP(B37,'2603실제'!$D:$E,2,0)</f>
        <v>일반BS</v>
      </c>
      <c r="D37" s="75" t="s">
        <v>791</v>
      </c>
      <c r="E37" s="75" t="s">
        <v>792</v>
      </c>
      <c r="F37" s="75" t="s">
        <v>793</v>
      </c>
      <c r="G37" s="75" t="str">
        <f t="shared" si="2"/>
        <v>이천만원 (\20,000,000원)</v>
      </c>
      <c r="H37" s="75" t="s">
        <v>1222</v>
      </c>
      <c r="I37" s="75" t="s">
        <v>1223</v>
      </c>
      <c r="J37" s="75" t="s">
        <v>1224</v>
      </c>
      <c r="K37" s="75" t="s">
        <v>1225</v>
      </c>
      <c r="L37" s="126" t="s">
        <v>1210</v>
      </c>
      <c r="M37" s="126" t="s">
        <v>1211</v>
      </c>
      <c r="N37" s="75" t="str">
        <f t="shared" si="3"/>
        <v>2026년 4월 1일 ~ 2027년 3월 31일</v>
      </c>
      <c r="O37" s="75" t="e">
        <f>VLOOKUP(B37,'25년계약체결리스트'!$B:$O,14,0)</f>
        <v>#N/A</v>
      </c>
    </row>
    <row r="38" spans="2:16" x14ac:dyDescent="0.45">
      <c r="B38" s="75" t="s">
        <v>1047</v>
      </c>
      <c r="C38" s="75" t="str">
        <f>VLOOKUP(B38,'2603실제'!$D:$E,2,0)</f>
        <v>일반BS</v>
      </c>
      <c r="D38" s="75" t="s">
        <v>791</v>
      </c>
      <c r="E38" s="75" t="s">
        <v>792</v>
      </c>
      <c r="F38" s="75" t="s">
        <v>793</v>
      </c>
      <c r="G38" s="75" t="str">
        <f t="shared" si="2"/>
        <v>이천만원 (\20,000,000원)</v>
      </c>
      <c r="H38" s="75" t="str">
        <f>VLOOKUP(B38,'25년계약체결리스트'!$B:$K,7,0)</f>
        <v>일룸포항중앙점</v>
      </c>
      <c r="I38" s="75" t="str">
        <f>VLOOKUP(B38,'25년계약체결리스트'!$B:$O,8,0)</f>
        <v>506-14-15162</v>
      </c>
      <c r="J38" s="75" t="str">
        <f>VLOOKUP(B38,'25년계약체결리스트'!$B:$O,9,0)</f>
        <v>신 현 정</v>
      </c>
      <c r="K38" s="75" t="str">
        <f>VLOOKUP(B38,'25년계약체결리스트'!$B:$O,10,0)</f>
        <v>경북 포항시 북구 중흥로213번길 49</v>
      </c>
      <c r="L38" s="126" t="s">
        <v>1210</v>
      </c>
      <c r="M38" s="126" t="s">
        <v>1211</v>
      </c>
      <c r="N38" s="75" t="str">
        <f t="shared" si="3"/>
        <v>2026년 4월 1일 ~ 2027년 3월 31일</v>
      </c>
      <c r="O38" s="75" t="str">
        <f>VLOOKUP(B38,'25년계약체결리스트'!$B:$O,14,0)</f>
        <v>shjj_2000@hanmail.net</v>
      </c>
    </row>
    <row r="39" spans="2:16" x14ac:dyDescent="0.45">
      <c r="B39" s="75" t="s">
        <v>1053</v>
      </c>
      <c r="C39" s="75" t="str">
        <f>VLOOKUP(B39,'2603실제'!$D:$E,2,0)</f>
        <v>일반BS</v>
      </c>
      <c r="D39" s="75" t="s">
        <v>791</v>
      </c>
      <c r="E39" s="75" t="s">
        <v>792</v>
      </c>
      <c r="F39" s="75" t="s">
        <v>793</v>
      </c>
      <c r="G39" s="75" t="str">
        <f t="shared" si="2"/>
        <v>이천만원 (\20,000,000원)</v>
      </c>
      <c r="H39" s="75" t="str">
        <f>VLOOKUP(B39,'25년계약체결리스트'!$B:$K,7,0)</f>
        <v>일룸부산하단점</v>
      </c>
      <c r="I39" s="75" t="str">
        <f>VLOOKUP(B39,'25년계약체결리스트'!$B:$O,8,0)</f>
        <v>617-29-91066</v>
      </c>
      <c r="J39" s="75" t="str">
        <f>VLOOKUP(B39,'25년계약체결리스트'!$B:$O,9,0)</f>
        <v>우 영 숙</v>
      </c>
      <c r="K39" s="75" t="str">
        <f>VLOOKUP(B39,'25년계약체결리스트'!$B:$O,10,0)</f>
        <v>부산광역시 사하구 낙동남로 1359 (하단동)</v>
      </c>
      <c r="L39" s="126" t="s">
        <v>1210</v>
      </c>
      <c r="M39" s="126" t="s">
        <v>1211</v>
      </c>
      <c r="N39" s="75" t="str">
        <f t="shared" si="3"/>
        <v>2026년 4월 1일 ~ 2027년 3월 31일</v>
      </c>
      <c r="O39" s="75" t="str">
        <f>VLOOKUP(B39,'25년계약체결리스트'!$B:$O,14,0)</f>
        <v>iloom0710@naver.com</v>
      </c>
    </row>
    <row r="40" spans="2:16" x14ac:dyDescent="0.45">
      <c r="B40" s="75" t="s">
        <v>1226</v>
      </c>
      <c r="C40" s="75" t="str">
        <f>VLOOKUP(B40,'2603실제'!$D:$E,2,0)</f>
        <v>입점BS</v>
      </c>
      <c r="D40" s="75" t="s">
        <v>791</v>
      </c>
      <c r="E40" s="75" t="s">
        <v>792</v>
      </c>
      <c r="F40" s="75" t="s">
        <v>793</v>
      </c>
      <c r="G40" s="75" t="str">
        <f t="shared" si="2"/>
        <v>이천만원 (\20,000,000원)</v>
      </c>
      <c r="H40" s="75" t="str">
        <f>VLOOKUP("신세계대전",'25년계약체결리스트'!$B:$K,7,0)</f>
        <v>일룸 NC대전유성점</v>
      </c>
      <c r="I40" s="75" t="str">
        <f>VLOOKUP("신세계대전",'25년계약체결리스트'!$B:$O,8,0)</f>
        <v>314-27-63783</v>
      </c>
      <c r="J40" s="75" t="str">
        <f>VLOOKUP("신세계대전",'25년계약체결리스트'!$B:$O,9,0)</f>
        <v>류 대 열</v>
      </c>
      <c r="K40" s="75" t="s">
        <v>1227</v>
      </c>
      <c r="L40" s="126" t="s">
        <v>1210</v>
      </c>
      <c r="M40" s="126" t="s">
        <v>1211</v>
      </c>
      <c r="N40" s="75" t="str">
        <f t="shared" si="3"/>
        <v>2026년 4월 1일 ~ 2027년 3월 31일</v>
      </c>
      <c r="O40" s="75" t="str">
        <f>VLOOKUP("신세계대전",'25년계약체결리스트'!$B:$O,14,0)</f>
        <v>kianadol76@daum.net</v>
      </c>
    </row>
    <row r="41" spans="2:16" x14ac:dyDescent="0.45">
      <c r="B41" s="77" t="s">
        <v>1202</v>
      </c>
      <c r="C41" s="77" t="str">
        <f>VLOOKUP(B41,'2603실제'!$D:$E,2,0)</f>
        <v>입점BS</v>
      </c>
      <c r="D41" s="77" t="s">
        <v>791</v>
      </c>
      <c r="E41" s="77" t="s">
        <v>792</v>
      </c>
      <c r="F41" s="77" t="s">
        <v>793</v>
      </c>
      <c r="G41" s="77" t="str">
        <f t="shared" si="2"/>
        <v>이천만원 (\20,000,000원)</v>
      </c>
      <c r="H41" s="77" t="str">
        <f>VLOOKUP(B41,'25년계약체결리스트'!$B:$K,7,0)</f>
        <v>일룸 롯데광복점</v>
      </c>
      <c r="I41" s="77" t="str">
        <f>VLOOKUP(B41,'25년계약체결리스트'!$B:$O,8,0)</f>
        <v>173-62-00679</v>
      </c>
      <c r="J41" s="77" t="str">
        <f>VLOOKUP(B41,'25년계약체결리스트'!$B:$O,9,0)</f>
        <v>조 정 혁</v>
      </c>
      <c r="K41" s="77" t="str">
        <f>VLOOKUP(B41,'25년계약체결리스트'!$B:$O,10,0)</f>
        <v>부산광역시 중구 중앙대로 2, 8층</v>
      </c>
      <c r="L41" s="78" t="s">
        <v>1210</v>
      </c>
      <c r="M41" s="130" t="s">
        <v>1228</v>
      </c>
      <c r="N41" s="77" t="str">
        <f t="shared" si="3"/>
        <v>2026년 4월 1일 ~ 2026년 7월 31일</v>
      </c>
      <c r="O41" s="75" t="str">
        <f>VLOOKUP(B41,'25년계약체결리스트'!$B:$O,14,0)</f>
        <v>iloomgo@naver.com</v>
      </c>
    </row>
    <row r="42" spans="2:16" x14ac:dyDescent="0.45">
      <c r="B42" s="77" t="s">
        <v>1229</v>
      </c>
      <c r="C42" s="77" t="str">
        <f>VLOOKUP(B42,'2603실제'!$D:$E,2,0)</f>
        <v>입점BS</v>
      </c>
      <c r="D42" s="77" t="s">
        <v>791</v>
      </c>
      <c r="E42" s="77" t="s">
        <v>792</v>
      </c>
      <c r="F42" s="77" t="s">
        <v>793</v>
      </c>
      <c r="G42" s="77" t="str">
        <f t="shared" si="2"/>
        <v>이천만원 (\20,000,000원)</v>
      </c>
      <c r="H42" s="77" t="str">
        <f>VLOOKUP(B42,'25년계약체결리스트'!$B:$K,7,0)</f>
        <v>일룸 롯데구리점</v>
      </c>
      <c r="I42" s="77" t="str">
        <f>VLOOKUP(B42,'25년계약체결리스트'!$B:$O,8,0)</f>
        <v>493-27-00631</v>
      </c>
      <c r="J42" s="77" t="str">
        <f>VLOOKUP(B42,'25년계약체결리스트'!$B:$O,9,0)</f>
        <v>구 현 정</v>
      </c>
      <c r="K42" s="77" t="str">
        <f>VLOOKUP(B42,'25년계약체결리스트'!$B:$O,10,0)</f>
        <v>경기도 구리시 경춘로 261, 롯데백화점구리점 7층</v>
      </c>
      <c r="L42" s="78" t="s">
        <v>1210</v>
      </c>
      <c r="M42" s="130" t="s">
        <v>1230</v>
      </c>
      <c r="N42" s="77" t="str">
        <f t="shared" si="3"/>
        <v>2026년 4월 1일 ~ 2027년 1월 31일</v>
      </c>
      <c r="O42" s="75" t="str">
        <f>VLOOKUP(B42,'25년계약체결리스트'!$B:$O,14,0)</f>
        <v>kuhj.iloom@gmail.com</v>
      </c>
      <c r="P42" s="127"/>
    </row>
    <row r="43" spans="2:16" x14ac:dyDescent="0.45">
      <c r="B43" s="77" t="s">
        <v>1135</v>
      </c>
      <c r="C43" s="77" t="str">
        <f>VLOOKUP(B43,'2603실제'!$D:$E,2,0)</f>
        <v>입점BS</v>
      </c>
      <c r="D43" s="77" t="s">
        <v>791</v>
      </c>
      <c r="E43" s="77" t="s">
        <v>792</v>
      </c>
      <c r="F43" s="77" t="s">
        <v>793</v>
      </c>
      <c r="G43" s="77" t="str">
        <f t="shared" si="2"/>
        <v>이천만원 (\20,000,000원)</v>
      </c>
      <c r="H43" s="77" t="str">
        <f>VLOOKUP(B43,'25년계약체결리스트'!$B:$K,7,0)</f>
        <v>일룸 롯데동탄점</v>
      </c>
      <c r="I43" s="77" t="str">
        <f>VLOOKUP(B43,'25년계약체결리스트'!$B:$O,8,0)</f>
        <v>836-07-02556</v>
      </c>
      <c r="J43" s="77" t="str">
        <f>VLOOKUP(B43,'25년계약체결리스트'!$B:$O,9,0)</f>
        <v>박 철 홍</v>
      </c>
      <c r="K43" s="77" t="str">
        <f>VLOOKUP(B43,'25년계약체결리스트'!$B:$O,10,0)</f>
        <v>경기도 화성시 동탄역로 160, 4층(오산동, 롯데백화점)</v>
      </c>
      <c r="L43" s="78" t="s">
        <v>1210</v>
      </c>
      <c r="M43" s="130" t="s">
        <v>1230</v>
      </c>
      <c r="N43" s="77" t="str">
        <f t="shared" si="3"/>
        <v>2026년 4월 1일 ~ 2027년 1월 31일</v>
      </c>
      <c r="O43" s="75" t="str">
        <f>VLOOKUP(B43,'25년계약체결리스트'!$B:$O,14,0)</f>
        <v>cholhong73@hanmail.net</v>
      </c>
    </row>
    <row r="44" spans="2:16" x14ac:dyDescent="0.45">
      <c r="B44" s="77" t="s">
        <v>1187</v>
      </c>
      <c r="C44" s="77" t="str">
        <f>VLOOKUP(B44,'2603실제'!$D:$E,2,0)</f>
        <v>입점BS</v>
      </c>
      <c r="D44" s="77" t="s">
        <v>791</v>
      </c>
      <c r="E44" s="77" t="s">
        <v>792</v>
      </c>
      <c r="F44" s="77" t="s">
        <v>793</v>
      </c>
      <c r="G44" s="77" t="str">
        <f t="shared" si="2"/>
        <v>이천만원 (\20,000,000원)</v>
      </c>
      <c r="H44" s="77" t="str">
        <f>VLOOKUP(B44,'25년계약체결리스트'!$B:$K,7,0)</f>
        <v>㈜아이룸텍</v>
      </c>
      <c r="I44" s="77" t="str">
        <f>VLOOKUP(B44,'25년계약체결리스트'!$B:$O,8,0)</f>
        <v>778-87-02591</v>
      </c>
      <c r="J44" s="77" t="str">
        <f>VLOOKUP(B44,'25년계약체결리스트'!$B:$O,9,0)</f>
        <v>오 중 현</v>
      </c>
      <c r="K44" s="77" t="str">
        <f>VLOOKUP(B44,'25년계약체결리스트'!$B:$O,10,0)</f>
        <v>서울 중랑구 동일로 898</v>
      </c>
      <c r="L44" s="78" t="s">
        <v>1210</v>
      </c>
      <c r="M44" s="130" t="s">
        <v>1230</v>
      </c>
      <c r="N44" s="77" t="str">
        <f t="shared" si="3"/>
        <v>2026년 4월 1일 ~ 2027년 1월 31일</v>
      </c>
      <c r="O44" s="75" t="str">
        <f>VLOOKUP(B44,'25년계약체결리스트'!$B:$O,14,0)</f>
        <v>to7887@nate.com</v>
      </c>
    </row>
    <row r="45" spans="2:16" x14ac:dyDescent="0.45">
      <c r="B45" s="77" t="s">
        <v>1231</v>
      </c>
      <c r="C45" s="77" t="str">
        <f>VLOOKUP(B45,'2603실제'!$D:$E,2,0)</f>
        <v>입점BS</v>
      </c>
      <c r="D45" s="77" t="s">
        <v>791</v>
      </c>
      <c r="E45" s="77" t="s">
        <v>792</v>
      </c>
      <c r="F45" s="77" t="s">
        <v>793</v>
      </c>
      <c r="G45" s="77" t="str">
        <f t="shared" si="2"/>
        <v>이천만원 (\20,000,000원)</v>
      </c>
      <c r="H45" s="77" t="s">
        <v>1232</v>
      </c>
      <c r="I45" s="77" t="s">
        <v>1233</v>
      </c>
      <c r="J45" s="77" t="s">
        <v>1234</v>
      </c>
      <c r="K45" s="77" t="s">
        <v>1235</v>
      </c>
      <c r="L45" s="78" t="s">
        <v>1210</v>
      </c>
      <c r="M45" s="130" t="s">
        <v>1228</v>
      </c>
      <c r="N45" s="77" t="str">
        <f t="shared" si="3"/>
        <v>2026년 4월 1일 ~ 2026년 7월 31일</v>
      </c>
      <c r="O45" s="75" t="e">
        <f>VLOOKUP(B45,'25년계약체결리스트'!$B:$O,14,0)</f>
        <v>#N/A</v>
      </c>
    </row>
    <row r="46" spans="2:16" x14ac:dyDescent="0.45">
      <c r="B46" s="77" t="s">
        <v>1204</v>
      </c>
      <c r="C46" s="77" t="str">
        <f>VLOOKUP(B46,'2603실제'!$D:$E,2,0)</f>
        <v>입점BS</v>
      </c>
      <c r="D46" s="77" t="s">
        <v>791</v>
      </c>
      <c r="E46" s="77" t="s">
        <v>792</v>
      </c>
      <c r="F46" s="77" t="s">
        <v>793</v>
      </c>
      <c r="G46" s="77" t="str">
        <f t="shared" si="2"/>
        <v>이천만원 (\20,000,000원)</v>
      </c>
      <c r="H46" s="77" t="str">
        <f>VLOOKUP(B46,'25년계약체결리스트'!$B:$K,7,0)</f>
        <v>일룸 롯데 안산점</v>
      </c>
      <c r="I46" s="77" t="str">
        <f>VLOOKUP(B46,'25년계약체결리스트'!$B:$O,8,0)</f>
        <v>336-46-01186</v>
      </c>
      <c r="J46" s="77" t="str">
        <f>VLOOKUP(B46,'25년계약체결리스트'!$B:$O,9,0)</f>
        <v>최 하 은</v>
      </c>
      <c r="K46" s="77" t="str">
        <f>VLOOKUP(B46,'25년계약체결리스트'!$B:$O,10,0)</f>
        <v>경기도 안산시 단원구 고잔1길 12, 3층(고잔동, 롯데백화점 안산점)</v>
      </c>
      <c r="L46" s="78" t="s">
        <v>1210</v>
      </c>
      <c r="M46" s="130" t="s">
        <v>1236</v>
      </c>
      <c r="N46" s="77" t="str">
        <f t="shared" si="3"/>
        <v>2026년 4월 1일 ~ 2026년 4월 30일</v>
      </c>
      <c r="O46" s="75" t="str">
        <f>VLOOKUP(B46,'25년계약체결리스트'!$B:$O,14,0)</f>
        <v>hg1634@naver.com</v>
      </c>
    </row>
    <row r="47" spans="2:16" x14ac:dyDescent="0.45">
      <c r="B47" s="77" t="s">
        <v>1197</v>
      </c>
      <c r="C47" s="77" t="str">
        <f>VLOOKUP(B47,'2603실제'!$D:$E,2,0)</f>
        <v>입점BS</v>
      </c>
      <c r="D47" s="77" t="s">
        <v>791</v>
      </c>
      <c r="E47" s="77" t="s">
        <v>792</v>
      </c>
      <c r="F47" s="77" t="s">
        <v>793</v>
      </c>
      <c r="G47" s="77" t="str">
        <f t="shared" si="2"/>
        <v>이천만원 (\20,000,000원)</v>
      </c>
      <c r="H47" s="77" t="str">
        <f>VLOOKUP(B47,'25년계약체결리스트'!$B:$K,7,0)</f>
        <v>일룸 롯데영등포점</v>
      </c>
      <c r="I47" s="77" t="str">
        <f>VLOOKUP(B47,'25년계약체결리스트'!$B:$O,8,0)</f>
        <v>113-22-86081</v>
      </c>
      <c r="J47" s="77" t="str">
        <f>VLOOKUP(B47,'25년계약체결리스트'!$B:$O,9,0)</f>
        <v>오 승 균</v>
      </c>
      <c r="K47" s="77" t="str">
        <f>VLOOKUP(B47,'25년계약체결리스트'!$B:$O,10,0)</f>
        <v>서울 영등포구 영등포동 경인로846, 롯데백화점 9층</v>
      </c>
      <c r="L47" s="78" t="s">
        <v>1210</v>
      </c>
      <c r="M47" s="130" t="s">
        <v>1237</v>
      </c>
      <c r="N47" s="77" t="str">
        <f t="shared" si="3"/>
        <v>2026년 4월 1일 ~ 2026년 5월 02일</v>
      </c>
      <c r="O47" s="75" t="str">
        <f>VLOOKUP(B47,'25년계약체결리스트'!$B:$O,14,0)</f>
        <v>gyun0502@hotmail.com</v>
      </c>
    </row>
    <row r="48" spans="2:16" x14ac:dyDescent="0.45">
      <c r="B48" s="77" t="s">
        <v>1238</v>
      </c>
      <c r="C48" s="77" t="str">
        <f>VLOOKUP(B48,'2603실제'!$D:$E,2,0)</f>
        <v>입점BS</v>
      </c>
      <c r="D48" s="77" t="s">
        <v>791</v>
      </c>
      <c r="E48" s="77" t="s">
        <v>792</v>
      </c>
      <c r="F48" s="77" t="s">
        <v>793</v>
      </c>
      <c r="G48" s="77" t="str">
        <f t="shared" si="2"/>
        <v>이천만원 (\20,000,000원)</v>
      </c>
      <c r="H48" s="77" t="str">
        <f>VLOOKUP("인천중앙2",'25년계약체결리스트'!$B:$K,7,0)</f>
        <v>(주)알루컴 인천점</v>
      </c>
      <c r="I48" s="77" t="str">
        <f>VLOOKUP("인천중앙2",'25년계약체결리스트'!$B:$O,8,0)</f>
        <v>105-85-41701</v>
      </c>
      <c r="J48" s="77" t="str">
        <f>VLOOKUP("인천중앙2",'25년계약체결리스트'!$B:$O,9,0)</f>
        <v>이 종 균</v>
      </c>
      <c r="K48" s="77" t="str">
        <f>VLOOKUP("인천중앙2",'25년계약체결리스트'!$B:$O,10,0)</f>
        <v>인천 남동구 인주대로 644</v>
      </c>
      <c r="L48" s="78" t="s">
        <v>1210</v>
      </c>
      <c r="M48" s="130" t="s">
        <v>1239</v>
      </c>
      <c r="N48" s="77" t="str">
        <f t="shared" si="3"/>
        <v>2026년 4월 1일 ~ 2026년 5월 31일</v>
      </c>
      <c r="O48" s="75" t="str">
        <f>VLOOKUP("인천중앙2",'25년계약체결리스트'!$B:$O,14,0)</f>
        <v>uggugg@nate.com</v>
      </c>
    </row>
    <row r="49" spans="2:16" x14ac:dyDescent="0.45">
      <c r="B49" s="77" t="s">
        <v>1142</v>
      </c>
      <c r="C49" s="77" t="str">
        <f>VLOOKUP(B49,'2603실제'!$D:$E,2,0)</f>
        <v>입점BS</v>
      </c>
      <c r="D49" s="77" t="s">
        <v>791</v>
      </c>
      <c r="E49" s="77" t="s">
        <v>792</v>
      </c>
      <c r="F49" s="77" t="s">
        <v>793</v>
      </c>
      <c r="G49" s="77" t="str">
        <f t="shared" si="2"/>
        <v>이천만원 (\20,000,000원)</v>
      </c>
      <c r="H49" s="77" t="str">
        <f>VLOOKUP(B49,'25년계약체결리스트'!$B:$K,7,0)</f>
        <v>(주)아이룸텍</v>
      </c>
      <c r="I49" s="77" t="str">
        <f>VLOOKUP(B49,'25년계약체결리스트'!$B:$O,8,0)</f>
        <v>778-87-02591</v>
      </c>
      <c r="J49" s="77" t="str">
        <f>VLOOKUP(B49,'25년계약체결리스트'!$B:$O,9,0)</f>
        <v>오 중 현</v>
      </c>
      <c r="K49" s="77" t="str">
        <f>VLOOKUP(B49,'25년계약체결리스트'!$B:$O,10,0)</f>
        <v>서울 중랑구 동일로 898</v>
      </c>
      <c r="L49" s="78" t="s">
        <v>1210</v>
      </c>
      <c r="M49" s="130" t="s">
        <v>1230</v>
      </c>
      <c r="N49" s="77" t="str">
        <f t="shared" si="3"/>
        <v>2026년 4월 1일 ~ 2027년 1월 31일</v>
      </c>
      <c r="O49" s="75" t="str">
        <f>VLOOKUP(B49,'25년계약체결리스트'!$B:$O,14,0)</f>
        <v>to7887@nate.com</v>
      </c>
    </row>
    <row r="50" spans="2:16" x14ac:dyDescent="0.45">
      <c r="B50" s="77" t="s">
        <v>1163</v>
      </c>
      <c r="C50" s="77" t="s">
        <v>1240</v>
      </c>
      <c r="D50" s="77" t="s">
        <v>791</v>
      </c>
      <c r="E50" s="77" t="s">
        <v>792</v>
      </c>
      <c r="F50" s="77" t="s">
        <v>793</v>
      </c>
      <c r="G50" s="77" t="str">
        <f t="shared" si="2"/>
        <v>이천만원 (\20,000,000원)</v>
      </c>
      <c r="H50" s="77" t="str">
        <f>VLOOKUP(B50,'25년계약체결리스트'!$B:$K,7,0)</f>
        <v>일룸 NC대전유성점</v>
      </c>
      <c r="I50" s="77" t="str">
        <f>VLOOKUP(B50,'25년계약체결리스트'!$B:$O,8,0)</f>
        <v>314-27-63783</v>
      </c>
      <c r="J50" s="77" t="str">
        <f>VLOOKUP(B50,'25년계약체결리스트'!$B:$O,9,0)</f>
        <v>류 대 열</v>
      </c>
      <c r="K50" s="77" t="s">
        <v>1227</v>
      </c>
      <c r="L50" s="78" t="s">
        <v>1210</v>
      </c>
      <c r="M50" s="130" t="s">
        <v>1228</v>
      </c>
      <c r="N50" s="77" t="str">
        <f t="shared" si="3"/>
        <v>2026년 4월 1일 ~ 2026년 7월 31일</v>
      </c>
      <c r="O50" s="75" t="str">
        <f>VLOOKUP(B50,'25년계약체결리스트'!$B:$O,14,0)</f>
        <v>kianadol76@daum.net</v>
      </c>
    </row>
    <row r="51" spans="2:16" x14ac:dyDescent="0.45">
      <c r="B51" s="77" t="s">
        <v>1241</v>
      </c>
      <c r="C51" s="77" t="str">
        <f>VLOOKUP(B51,'2603실제'!$D:$E,2,0)</f>
        <v>입점BS</v>
      </c>
      <c r="D51" s="77" t="s">
        <v>791</v>
      </c>
      <c r="E51" s="77" t="s">
        <v>792</v>
      </c>
      <c r="F51" s="77" t="s">
        <v>793</v>
      </c>
      <c r="G51" s="77" t="str">
        <f t="shared" si="2"/>
        <v>이천만원 (\20,000,000원)</v>
      </c>
      <c r="H51" s="77" t="str">
        <f>VLOOKUP("부천3",'25년계약체결리스트'!$B:$K,7,0)</f>
        <v>일룸 부천점</v>
      </c>
      <c r="I51" s="77" t="str">
        <f>VLOOKUP("부천3",'25년계약체결리스트'!$B:$O,8,0)</f>
        <v>313-36-00088</v>
      </c>
      <c r="J51" s="77" t="str">
        <f>VLOOKUP("부천3",'25년계약체결리스트'!$B:$O,9,0)</f>
        <v>최 민 영</v>
      </c>
      <c r="K51" s="77" t="str">
        <f>VLOOKUP("부천3",'25년계약체결리스트'!$B:$O,10,0)</f>
        <v>경기 부천시 길주로 462</v>
      </c>
      <c r="L51" s="78" t="s">
        <v>1210</v>
      </c>
      <c r="M51" s="130" t="s">
        <v>1242</v>
      </c>
      <c r="N51" s="77" t="str">
        <f t="shared" si="3"/>
        <v>2026년 4월 1일 ~ 2026년 4월 23일</v>
      </c>
      <c r="O51" s="75" t="str">
        <f>VLOOKUP("부천3",'25년계약체결리스트'!$B:$O,14,0)</f>
        <v>iloombc@naver.com</v>
      </c>
    </row>
    <row r="52" spans="2:16" x14ac:dyDescent="0.45">
      <c r="B52" s="77" t="s">
        <v>1073</v>
      </c>
      <c r="C52" s="77" t="str">
        <f>VLOOKUP(B52,'2603실제'!$D:$E,2,0)</f>
        <v>투자형B-로드</v>
      </c>
      <c r="D52" s="77" t="s">
        <v>791</v>
      </c>
      <c r="E52" s="77" t="s">
        <v>792</v>
      </c>
      <c r="F52" s="77" t="s">
        <v>793</v>
      </c>
      <c r="G52" s="77" t="str">
        <f t="shared" si="2"/>
        <v>이천만원 (\20,000,000원)</v>
      </c>
      <c r="H52" s="77" t="str">
        <f>VLOOKUP(B52,'25년계약체결리스트'!$B:$K,7,0)</f>
        <v>일룸 광천점</v>
      </c>
      <c r="I52" s="77" t="str">
        <f>VLOOKUP(B52,'25년계약체결리스트'!$B:$O,8,0)</f>
        <v>410-03-23351</v>
      </c>
      <c r="J52" s="77" t="str">
        <f>VLOOKUP(B52,'25년계약체결리스트'!$B:$O,9,0)</f>
        <v>조 평 호</v>
      </c>
      <c r="K52" s="77" t="str">
        <f>VLOOKUP(B52,'25년계약체결리스트'!$B:$O,10,0)</f>
        <v>광주광역시 서구 무진대로 956(농성동, 퍼시스광주센터)</v>
      </c>
      <c r="L52" s="78" t="s">
        <v>1210</v>
      </c>
      <c r="M52" s="130" t="s">
        <v>1212</v>
      </c>
      <c r="N52" s="77" t="str">
        <f t="shared" si="3"/>
        <v>2026년 4월 1일 ~ 2026년 12월 31일</v>
      </c>
      <c r="O52" s="75" t="str">
        <f>VLOOKUP(B52,'25년계약체결리스트'!$B:$O,14,0)</f>
        <v>gagu0512@naver.com</v>
      </c>
      <c r="P52" s="127"/>
    </row>
    <row r="53" spans="2:16" x14ac:dyDescent="0.45">
      <c r="B53" s="75" t="s">
        <v>1086</v>
      </c>
      <c r="C53" s="75" t="str">
        <f>VLOOKUP(B53,'2603실제'!$D:$E,2,0)</f>
        <v>투자형B-로드</v>
      </c>
      <c r="D53" s="75" t="s">
        <v>791</v>
      </c>
      <c r="E53" s="75" t="s">
        <v>792</v>
      </c>
      <c r="F53" s="75" t="s">
        <v>793</v>
      </c>
      <c r="G53" s="75" t="str">
        <f t="shared" si="2"/>
        <v>이천만원 (\20,000,000원)</v>
      </c>
      <c r="H53" s="75" t="str">
        <f>VLOOKUP(B53,'25년계약체결리스트'!$B:$K,7,0)</f>
        <v>일룸 안양점</v>
      </c>
      <c r="I53" s="75" t="str">
        <f>VLOOKUP(B53,'25년계약체결리스트'!$B:$O,8,0)</f>
        <v>334-37-00928</v>
      </c>
      <c r="J53" s="75" t="str">
        <f>VLOOKUP(B53,'25년계약체결리스트'!$B:$O,9,0)</f>
        <v>윤 기 언</v>
      </c>
      <c r="K53" s="75" t="str">
        <f>VLOOKUP(B53,'25년계약체결리스트'!$B:$O,10,0)</f>
        <v>경기도 안양시 만안구 안양로 238</v>
      </c>
      <c r="L53" s="126" t="s">
        <v>1210</v>
      </c>
      <c r="M53" s="126" t="s">
        <v>1211</v>
      </c>
      <c r="N53" s="75" t="str">
        <f t="shared" si="3"/>
        <v>2026년 4월 1일 ~ 2027년 3월 31일</v>
      </c>
      <c r="O53" s="75" t="str">
        <f>VLOOKUP(B53,'25년계약체결리스트'!$B:$O,14,0)</f>
        <v>yke69@naver.com</v>
      </c>
    </row>
    <row r="54" spans="2:16" x14ac:dyDescent="0.45">
      <c r="B54" s="75" t="s">
        <v>1098</v>
      </c>
      <c r="C54" s="75" t="str">
        <f>VLOOKUP(B54,'2603실제'!$D:$E,2,0)</f>
        <v>투자형B-로드</v>
      </c>
      <c r="D54" s="75" t="s">
        <v>791</v>
      </c>
      <c r="E54" s="75" t="s">
        <v>792</v>
      </c>
      <c r="F54" s="75" t="s">
        <v>793</v>
      </c>
      <c r="G54" s="75" t="str">
        <f t="shared" si="2"/>
        <v>이천만원 (\20,000,000원)</v>
      </c>
      <c r="H54" s="75" t="str">
        <f>VLOOKUP(B54,'25년계약체결리스트'!$B:$K,7,0)</f>
        <v>일룸 인천 검단점</v>
      </c>
      <c r="I54" s="75" t="str">
        <f>VLOOKUP(B54,'25년계약체결리스트'!$B:$O,8,0)</f>
        <v>872-03-02670</v>
      </c>
      <c r="J54" s="75" t="str">
        <f>VLOOKUP(B54,'25년계약체결리스트'!$B:$O,9,0)</f>
        <v>유 종 규</v>
      </c>
      <c r="K54" s="75" t="str">
        <f>VLOOKUP(B54,'25년계약체결리스트'!$B:$O,10,0)</f>
        <v>인천 서구 원당대로 847, 4층</v>
      </c>
      <c r="L54" s="126" t="s">
        <v>1210</v>
      </c>
      <c r="M54" s="126" t="s">
        <v>1211</v>
      </c>
      <c r="N54" s="75" t="str">
        <f t="shared" si="3"/>
        <v>2026년 4월 1일 ~ 2027년 3월 31일</v>
      </c>
      <c r="O54" s="75" t="str">
        <f>VLOOKUP(B54,'25년계약체결리스트'!$B:$O,14,0)</f>
        <v>manwxyiloom@hanmail.net</v>
      </c>
    </row>
    <row r="55" spans="2:16" x14ac:dyDescent="0.45">
      <c r="B55" s="75" t="s">
        <v>1104</v>
      </c>
      <c r="C55" s="75" t="str">
        <f>VLOOKUP(B55,'2603실제'!$D:$E,2,0)</f>
        <v>투자형B-로드</v>
      </c>
      <c r="D55" s="75" t="s">
        <v>791</v>
      </c>
      <c r="E55" s="75" t="s">
        <v>792</v>
      </c>
      <c r="F55" s="75" t="s">
        <v>793</v>
      </c>
      <c r="G55" s="75" t="str">
        <f t="shared" si="2"/>
        <v>이천만원 (\20,000,000원)</v>
      </c>
      <c r="H55" s="75" t="str">
        <f>VLOOKUP(B55,'25년계약체결리스트'!$B:$K,7,0)</f>
        <v>주식회사 일룸앤데스커</v>
      </c>
      <c r="I55" s="75" t="str">
        <f>VLOOKUP(B55,'25년계약체결리스트'!$B:$O,8,0)</f>
        <v>408-88-02821</v>
      </c>
      <c r="J55" s="75" t="str">
        <f>VLOOKUP(B55,'25년계약체결리스트'!$B:$O,9,0)</f>
        <v>조 평 호</v>
      </c>
      <c r="K55" s="75" t="str">
        <f>VLOOKUP(B55,'25년계약체결리스트'!$B:$O,10,0)</f>
        <v>광주광역시 남구 봉선로 16 (주월동) 1층</v>
      </c>
      <c r="L55" s="126" t="s">
        <v>1210</v>
      </c>
      <c r="M55" s="126" t="s">
        <v>1211</v>
      </c>
      <c r="N55" s="75" t="str">
        <f t="shared" si="3"/>
        <v>2026년 4월 1일 ~ 2027년 3월 31일</v>
      </c>
      <c r="O55" s="75" t="str">
        <f>VLOOKUP(B55,'25년계약체결리스트'!$B:$O,14,0)</f>
        <v>gagu0512@naver.com</v>
      </c>
    </row>
    <row r="56" spans="2:16" x14ac:dyDescent="0.45">
      <c r="B56" s="75" t="s">
        <v>1105</v>
      </c>
      <c r="C56" s="75" t="str">
        <f>VLOOKUP(B56,'2603실제'!$D:$E,2,0)</f>
        <v>투자형B-로드</v>
      </c>
      <c r="D56" s="75" t="s">
        <v>791</v>
      </c>
      <c r="E56" s="75" t="s">
        <v>792</v>
      </c>
      <c r="F56" s="75" t="s">
        <v>793</v>
      </c>
      <c r="G56" s="75" t="str">
        <f t="shared" si="2"/>
        <v>이천만원 (\20,000,000원)</v>
      </c>
      <c r="H56" s="75" t="str">
        <f>VLOOKUP(B56,'25년계약체결리스트'!$B:$K,7,0)</f>
        <v>일룸천안신방점</v>
      </c>
      <c r="I56" s="75" t="str">
        <f>VLOOKUP(B56,'25년계약체결리스트'!$B:$O,8,0)</f>
        <v>312-20-61970</v>
      </c>
      <c r="J56" s="75" t="str">
        <f>VLOOKUP(B56,'25년계약체결리스트'!$B:$O,9,0)</f>
        <v>이 준 범</v>
      </c>
      <c r="K56" s="75" t="str">
        <f>VLOOKUP(B56,'25년계약체결리스트'!$B:$O,10,0)</f>
        <v>충남 천안시 동남구 신촌로 6, 2층</v>
      </c>
      <c r="L56" s="126" t="s">
        <v>1210</v>
      </c>
      <c r="M56" s="126" t="s">
        <v>1211</v>
      </c>
      <c r="N56" s="75" t="str">
        <f t="shared" si="3"/>
        <v>2026년 4월 1일 ~ 2027년 3월 31일</v>
      </c>
      <c r="O56" s="75" t="str">
        <f>VLOOKUP(B56,'25년계약체결리스트'!$B:$O,14,0)</f>
        <v>co2nonia@nate.com</v>
      </c>
    </row>
    <row r="57" spans="2:16" x14ac:dyDescent="0.45">
      <c r="B57" s="75" t="s">
        <v>1243</v>
      </c>
      <c r="C57" s="75" t="str">
        <f>VLOOKUP("기흥4",'2603실제'!$D:$E,2,0)</f>
        <v>투자형B-입점</v>
      </c>
      <c r="D57" s="75" t="s">
        <v>791</v>
      </c>
      <c r="E57" s="75" t="s">
        <v>792</v>
      </c>
      <c r="F57" s="75" t="s">
        <v>793</v>
      </c>
      <c r="G57" s="75" t="str">
        <f t="shared" si="2"/>
        <v>이천만원 (\20,000,000원)</v>
      </c>
      <c r="H57" s="75" t="s">
        <v>1244</v>
      </c>
      <c r="I57" s="75" t="str">
        <f>VLOOKUP("롯데광명",'25년계약체결리스트'!$B:$O,8,0)</f>
        <v>215-22-64855</v>
      </c>
      <c r="J57" s="75" t="str">
        <f>VLOOKUP("롯데광명",'25년계약체결리스트'!$B:$O,9,0)</f>
        <v>조 선 영</v>
      </c>
      <c r="K57" s="75" t="s">
        <v>1245</v>
      </c>
      <c r="L57" s="126" t="s">
        <v>1210</v>
      </c>
      <c r="M57" s="126" t="s">
        <v>1211</v>
      </c>
      <c r="N57" s="75" t="str">
        <f t="shared" si="3"/>
        <v>2026년 4월 1일 ~ 2027년 3월 31일</v>
      </c>
      <c r="O57" s="75" t="str">
        <f>VLOOKUP("롯데광명",'25년계약체결리스트'!$B:$O,14,0)</f>
        <v>cholhong73@hanmail.net</v>
      </c>
    </row>
    <row r="58" spans="2:16" x14ac:dyDescent="0.45">
      <c r="B58" s="75" t="s">
        <v>1246</v>
      </c>
      <c r="C58" s="75" t="str">
        <f>VLOOKUP("롯데광명",'2603실제'!$D:$E,2,0)</f>
        <v>투자형B-입점</v>
      </c>
      <c r="D58" s="75" t="s">
        <v>791</v>
      </c>
      <c r="E58" s="75" t="s">
        <v>792</v>
      </c>
      <c r="F58" s="75" t="s">
        <v>793</v>
      </c>
      <c r="G58" s="75" t="str">
        <f t="shared" si="2"/>
        <v>이천만원 (\20,000,000원)</v>
      </c>
      <c r="H58" s="75" t="s">
        <v>1122</v>
      </c>
      <c r="I58" s="75" t="s">
        <v>1247</v>
      </c>
      <c r="J58" s="75" t="s">
        <v>1248</v>
      </c>
      <c r="K58" s="75" t="s">
        <v>1249</v>
      </c>
      <c r="L58" s="126" t="s">
        <v>1210</v>
      </c>
      <c r="M58" s="126" t="s">
        <v>1211</v>
      </c>
      <c r="N58" s="75" t="str">
        <f t="shared" si="3"/>
        <v>2026년 4월 1일 ~ 2027년 3월 31일</v>
      </c>
      <c r="O58" s="75" t="e">
        <f>VLOOKUP(B58,'25년계약체결리스트'!$B:$O,14,0)</f>
        <v>#N/A</v>
      </c>
    </row>
    <row r="59" spans="2:16" x14ac:dyDescent="0.45">
      <c r="B59" s="77" t="s">
        <v>1129</v>
      </c>
      <c r="C59" s="77" t="str">
        <f>VLOOKUP(B59,'2603실제'!$D:$E,2,0)</f>
        <v>투자형B-입점</v>
      </c>
      <c r="D59" s="77" t="s">
        <v>791</v>
      </c>
      <c r="E59" s="77" t="s">
        <v>792</v>
      </c>
      <c r="F59" s="77" t="s">
        <v>793</v>
      </c>
      <c r="G59" s="77" t="str">
        <f t="shared" si="2"/>
        <v>이천만원 (\20,000,000원)</v>
      </c>
      <c r="H59" s="77" t="str">
        <f>VLOOKUP(B59,'25년계약체결리스트'!$B:$K,7,0)</f>
        <v>일룸 롯데동부산점</v>
      </c>
      <c r="I59" s="77" t="str">
        <f>VLOOKUP(B59,'25년계약체결리스트'!$B:$O,8,0)</f>
        <v>710-50-00456</v>
      </c>
      <c r="J59" s="77" t="str">
        <f>VLOOKUP(B59,'25년계약체결리스트'!$B:$O,9,0)</f>
        <v>안 율</v>
      </c>
      <c r="K59" s="77" t="str">
        <f>VLOOKUP(B59,'25년계약체결리스트'!$B:$O,10,0)</f>
        <v>부산 기장군 동부산관광로 8 메종동부산 롯데몰동부산점 B동 1층</v>
      </c>
      <c r="L59" s="78" t="s">
        <v>1210</v>
      </c>
      <c r="M59" s="130" t="s">
        <v>1250</v>
      </c>
      <c r="N59" s="77" t="str">
        <f t="shared" si="3"/>
        <v>2026년 4월 1일 ~ 2026년 6월 30일</v>
      </c>
      <c r="O59" s="75" t="str">
        <f>VLOOKUP(B59,'25년계약체결리스트'!$B:$O,14,0)</f>
        <v>ld5yul@hanmail.net</v>
      </c>
    </row>
    <row r="60" spans="2:16" x14ac:dyDescent="0.45">
      <c r="B60" s="77" t="s">
        <v>1145</v>
      </c>
      <c r="C60" s="77" t="str">
        <f>VLOOKUP(B60,'2603실제'!$D:$E,2,0)</f>
        <v>투자형B-입점</v>
      </c>
      <c r="D60" s="77" t="s">
        <v>791</v>
      </c>
      <c r="E60" s="77" t="s">
        <v>792</v>
      </c>
      <c r="F60" s="77" t="s">
        <v>793</v>
      </c>
      <c r="G60" s="77" t="str">
        <f t="shared" si="2"/>
        <v>이천만원 (\20,000,000원)</v>
      </c>
      <c r="H60" s="77" t="str">
        <f>VLOOKUP(B60,'25년계약체결리스트'!$B:$K,7,0)</f>
        <v>일룸평촌전시장</v>
      </c>
      <c r="I60" s="77" t="str">
        <f>VLOOKUP(B60,'25년계약체결리스트'!$B:$O,8,0)</f>
        <v>138-10-79418</v>
      </c>
      <c r="J60" s="77" t="str">
        <f>VLOOKUP(B60,'25년계약체결리스트'!$B:$O,9,0)</f>
        <v>황 봉 국</v>
      </c>
      <c r="K60" s="77" t="str">
        <f>VLOOKUP(B60,'25년계약체결리스트'!$B:$O,10,0)</f>
        <v>경기도 안양시 동안구 시민대로 180, 6층(호계동, 롯데백화점 평촌점)</v>
      </c>
      <c r="L60" s="78" t="s">
        <v>1210</v>
      </c>
      <c r="M60" s="130" t="s">
        <v>1230</v>
      </c>
      <c r="N60" s="77" t="str">
        <f t="shared" si="3"/>
        <v>2026년 4월 1일 ~ 2027년 1월 31일</v>
      </c>
      <c r="O60" s="75" t="str">
        <f>VLOOKUP(B60,'25년계약체결리스트'!$B:$O,14,0)</f>
        <v>bkhwang4600@naver.com</v>
      </c>
    </row>
    <row r="61" spans="2:16" x14ac:dyDescent="0.45">
      <c r="B61" s="77" t="s">
        <v>1251</v>
      </c>
      <c r="C61" s="77" t="str">
        <f>VLOOKUP(B61,'2603실제'!$D:$E,2,0)</f>
        <v>투자형B-입점</v>
      </c>
      <c r="D61" s="77" t="s">
        <v>791</v>
      </c>
      <c r="E61" s="77" t="s">
        <v>792</v>
      </c>
      <c r="F61" s="77" t="s">
        <v>793</v>
      </c>
      <c r="G61" s="77" t="str">
        <f t="shared" si="2"/>
        <v>이천만원 (\20,000,000원)</v>
      </c>
      <c r="H61" s="77" t="str">
        <f>VLOOKUP("송도4",'25년계약체결리스트'!$B:$K,7,0)</f>
        <v>(주)알루컴 인천점</v>
      </c>
      <c r="I61" s="77" t="str">
        <f>VLOOKUP("송도4",'25년계약체결리스트'!$B:$O,8,0)</f>
        <v>105-85-41701</v>
      </c>
      <c r="J61" s="77" t="str">
        <f>VLOOKUP("송도4",'25년계약체결리스트'!$B:$O,9,0)</f>
        <v>이 종 균</v>
      </c>
      <c r="K61" s="77" t="str">
        <f>VLOOKUP("송도4",'25년계약체결리스트'!$B:$O,10,0)</f>
        <v>인천 남동구 인주대로 644</v>
      </c>
      <c r="L61" s="78" t="s">
        <v>1210</v>
      </c>
      <c r="M61" s="130" t="s">
        <v>1252</v>
      </c>
      <c r="N61" s="77" t="str">
        <f t="shared" si="3"/>
        <v>2026년 4월 1일 ~ 2026년 8월 31일</v>
      </c>
      <c r="O61" s="75" t="str">
        <f>VLOOKUP("송도4",'25년계약체결리스트'!$B:$O,14,0)</f>
        <v>uggugg@nate.com</v>
      </c>
    </row>
    <row r="62" spans="2:16" x14ac:dyDescent="0.45">
      <c r="B62" s="75" t="s">
        <v>1152</v>
      </c>
      <c r="C62" s="75" t="str">
        <f>VLOOKUP(B62,'2603실제'!$D:$E,2,0)</f>
        <v>투자형B-입점</v>
      </c>
      <c r="D62" s="75" t="s">
        <v>791</v>
      </c>
      <c r="E62" s="75" t="s">
        <v>792</v>
      </c>
      <c r="F62" s="75" t="s">
        <v>793</v>
      </c>
      <c r="G62" s="75" t="str">
        <f t="shared" si="2"/>
        <v>이천만원 (\20,000,000원)</v>
      </c>
      <c r="H62" s="75" t="str">
        <f>VLOOKUP(B62,'25년계약체결리스트'!$B:$K,7,0)</f>
        <v>페드라(일룸 스타필드고양)</v>
      </c>
      <c r="I62" s="75" t="str">
        <f>VLOOKUP(B62,'25년계약체결리스트'!$B:$O,8,0)</f>
        <v>417-10-72598</v>
      </c>
      <c r="J62" s="75" t="str">
        <f>VLOOKUP(B62,'25년계약체결리스트'!$B:$O,9,0)</f>
        <v>안 중 우</v>
      </c>
      <c r="K62" s="75" t="str">
        <f>VLOOKUP(B62,'25년계약체결리스트'!$B:$O,10,0)</f>
        <v>경기도 고양시 덕양구 고양대로 1955, b1층</v>
      </c>
      <c r="L62" s="126" t="s">
        <v>1210</v>
      </c>
      <c r="M62" s="126" t="s">
        <v>1211</v>
      </c>
      <c r="N62" s="75" t="str">
        <f t="shared" si="3"/>
        <v>2026년 4월 1일 ~ 2027년 3월 31일</v>
      </c>
      <c r="O62" s="75" t="str">
        <f>VLOOKUP(B62,'25년계약체결리스트'!$B:$O,14,0)</f>
        <v>ajw7609@naver.com</v>
      </c>
    </row>
    <row r="63" spans="2:16" x14ac:dyDescent="0.45">
      <c r="B63" s="75" t="s">
        <v>1156</v>
      </c>
      <c r="C63" s="75" t="str">
        <f>VLOOKUP(B63,'2603실제'!$D:$E,2,0)</f>
        <v>투자형B-입점</v>
      </c>
      <c r="D63" s="75" t="s">
        <v>791</v>
      </c>
      <c r="E63" s="75" t="s">
        <v>792</v>
      </c>
      <c r="F63" s="75" t="s">
        <v>793</v>
      </c>
      <c r="G63" s="75" t="str">
        <f t="shared" si="2"/>
        <v>이천만원 (\20,000,000원)</v>
      </c>
      <c r="H63" s="75" t="str">
        <f>VLOOKUP(B63,'25년계약체결리스트'!$B:$K,7,0)</f>
        <v>주식회사 일룸수원중앙점</v>
      </c>
      <c r="I63" s="75" t="str">
        <f>VLOOKUP(B63,'25년계약체결리스트'!$B:$O,8,0)</f>
        <v>609-87-00128</v>
      </c>
      <c r="J63" s="75" t="str">
        <f>VLOOKUP(B63,'25년계약체결리스트'!$B:$O,9,0)</f>
        <v>석 옥 련</v>
      </c>
      <c r="K63" s="75" t="str">
        <f>VLOOKUP(B63,'25년계약체결리스트'!$B:$O,10,0)</f>
        <v>경기 수원시 장안구 수성로 175, 6층 6210호(정자동, 스타필드수원)</v>
      </c>
      <c r="L63" s="126" t="s">
        <v>1210</v>
      </c>
      <c r="M63" s="126" t="s">
        <v>1211</v>
      </c>
      <c r="N63" s="75" t="str">
        <f t="shared" si="3"/>
        <v>2026년 4월 1일 ~ 2027년 3월 31일</v>
      </c>
      <c r="O63" s="75" t="str">
        <f>VLOOKUP(B63,'25년계약체결리스트'!$B:$O,14,0)</f>
        <v>do0815@hanmail.net</v>
      </c>
    </row>
    <row r="64" spans="2:16" x14ac:dyDescent="0.45">
      <c r="B64" s="77" t="s">
        <v>1162</v>
      </c>
      <c r="C64" s="77" t="str">
        <f>VLOOKUP(B64,'2603실제'!$D:$E,2,0)</f>
        <v>투자형B-입점</v>
      </c>
      <c r="D64" s="77" t="s">
        <v>791</v>
      </c>
      <c r="E64" s="77" t="s">
        <v>792</v>
      </c>
      <c r="F64" s="77" t="s">
        <v>793</v>
      </c>
      <c r="G64" s="77" t="str">
        <f t="shared" si="2"/>
        <v>이천만원 (\20,000,000원)</v>
      </c>
      <c r="H64" s="77" t="str">
        <f>VLOOKUP(B64,'25년계약체결리스트'!$B:$K,7,0)</f>
        <v>주식회사 일룸수원중앙점</v>
      </c>
      <c r="I64" s="77" t="str">
        <f>VLOOKUP(B64,'25년계약체결리스트'!$B:$O,8,0)</f>
        <v>609-87-00128</v>
      </c>
      <c r="J64" s="77" t="str">
        <f>VLOOKUP(B64,'25년계약체결리스트'!$B:$O,9,0)</f>
        <v>석 옥 련</v>
      </c>
      <c r="K64" s="77" t="str">
        <f>VLOOKUP(B64,'25년계약체결리스트'!$B:$O,10,0)</f>
        <v>경기 수원시 장안구 수성로 175, 6층 6210호(정자동, 스타필드수원)</v>
      </c>
      <c r="L64" s="78" t="s">
        <v>1210</v>
      </c>
      <c r="M64" s="130" t="s">
        <v>1253</v>
      </c>
      <c r="N64" s="77" t="str">
        <f t="shared" si="3"/>
        <v>2026년 4월 1일 ~ 2027년 1월 25일</v>
      </c>
      <c r="O64" s="75" t="str">
        <f>VLOOKUP(B64,'25년계약체결리스트'!$B:$O,14,0)</f>
        <v>do0815@hanmail.net</v>
      </c>
    </row>
    <row r="65" spans="2:16" x14ac:dyDescent="0.45">
      <c r="B65" s="75" t="s">
        <v>1199</v>
      </c>
      <c r="C65" s="75" t="str">
        <f>VLOOKUP(B65,'2603실제'!$D:$E,2,0)</f>
        <v>투자형B-입점</v>
      </c>
      <c r="D65" s="75" t="s">
        <v>791</v>
      </c>
      <c r="E65" s="75" t="s">
        <v>792</v>
      </c>
      <c r="F65" s="75" t="s">
        <v>793</v>
      </c>
      <c r="G65" s="75" t="str">
        <f t="shared" si="2"/>
        <v>이천만원 (\20,000,000원)</v>
      </c>
      <c r="H65" s="75" t="str">
        <f>VLOOKUP(B65,'25년계약체결리스트'!$B:$K,7,0)</f>
        <v>일룸 신세계시흥</v>
      </c>
      <c r="I65" s="75" t="str">
        <f>VLOOKUP(B65,'25년계약체결리스트'!$B:$O,8,0)</f>
        <v>133-40-01343</v>
      </c>
      <c r="J65" s="75" t="str">
        <f>VLOOKUP(B65,'25년계약체결리스트'!$B:$O,9,0)</f>
        <v>최 하 은</v>
      </c>
      <c r="K65" s="75" t="str">
        <f>VLOOKUP(B65,'25년계약체결리스트'!$B:$O,10,0)</f>
        <v>경기도 시흥시 서해안로 699, 2층 (배곧동, 시흥 프리미엄 아울렛)</v>
      </c>
      <c r="L65" s="126" t="s">
        <v>1210</v>
      </c>
      <c r="M65" s="126" t="s">
        <v>1211</v>
      </c>
      <c r="N65" s="75" t="str">
        <f t="shared" si="3"/>
        <v>2026년 4월 1일 ~ 2027년 3월 31일</v>
      </c>
      <c r="O65" s="75" t="str">
        <f>VLOOKUP(B65,'25년계약체결리스트'!$B:$O,14,0)</f>
        <v>hg1634@naver.com</v>
      </c>
      <c r="P65" s="125" t="s">
        <v>1254</v>
      </c>
    </row>
    <row r="66" spans="2:16" x14ac:dyDescent="0.45">
      <c r="B66" s="77" t="s">
        <v>1172</v>
      </c>
      <c r="C66" s="77" t="str">
        <f>VLOOKUP(B66,'2603실제'!$D:$E,2,0)</f>
        <v>투자형B-입점</v>
      </c>
      <c r="D66" s="77" t="s">
        <v>791</v>
      </c>
      <c r="E66" s="77" t="s">
        <v>792</v>
      </c>
      <c r="F66" s="77" t="s">
        <v>793</v>
      </c>
      <c r="G66" s="77" t="str">
        <f t="shared" si="2"/>
        <v>이천만원 (\20,000,000원)</v>
      </c>
      <c r="H66" s="77" t="str">
        <f>VLOOKUP(B66,'25년계약체결리스트'!$B:$K,7,0)</f>
        <v>토호드</v>
      </c>
      <c r="I66" s="77" t="str">
        <f>VLOOKUP(B66,'25년계약체결리스트'!$B:$O,8,0)</f>
        <v>837-15-00255</v>
      </c>
      <c r="J66" s="77" t="str">
        <f>VLOOKUP(B66,'25년계약체결리스트'!$B:$O,9,0)</f>
        <v>안 중 협</v>
      </c>
      <c r="K66" s="77" t="str">
        <f>VLOOKUP(B66,'25년계약체결리스트'!$B:$O,10,0)</f>
        <v>경기도 고양시 일산동구 월드고양로 102-33, 2층</v>
      </c>
      <c r="L66" s="78" t="s">
        <v>1210</v>
      </c>
      <c r="M66" s="130" t="s">
        <v>1255</v>
      </c>
      <c r="N66" s="77" t="str">
        <f t="shared" si="3"/>
        <v>2026년 4월 1일 ~ 2026년 5월 10일</v>
      </c>
      <c r="O66" s="75" t="str">
        <f>VLOOKUP(B66,'25년계약체결리스트'!$B:$O,14,0)</f>
        <v>tohode@naver.com</v>
      </c>
    </row>
    <row r="67" spans="2:16" x14ac:dyDescent="0.45">
      <c r="C67" s="129"/>
    </row>
  </sheetData>
  <autoFilter ref="B2:P66" xr:uid="{00000000-0009-0000-0000-00000C000000}">
    <sortState ref="B3:P66">
      <sortCondition ref="C2:C66"/>
    </sortState>
  </autoFilter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1"/>
  <sheetViews>
    <sheetView workbookViewId="0">
      <pane ySplit="2" topLeftCell="A18" activePane="bottomLeft" state="frozen"/>
      <selection activeCell="B27" sqref="B27"/>
      <selection pane="bottomLeft" activeCell="B26" sqref="B26:B38"/>
    </sheetView>
  </sheetViews>
  <sheetFormatPr defaultRowHeight="17" x14ac:dyDescent="0.45"/>
  <cols>
    <col min="1" max="1" width="2" style="137" bestFit="1" customWidth="1"/>
    <col min="2" max="3" width="6.83203125" style="137" bestFit="1" customWidth="1"/>
    <col min="4" max="4" width="20.58203125" style="137" bestFit="1" customWidth="1"/>
    <col min="5" max="5" width="8" style="137" bestFit="1" customWidth="1"/>
    <col min="6" max="6" width="9.83203125" style="137" bestFit="1" customWidth="1"/>
    <col min="7" max="7" width="12.6640625" style="137" bestFit="1" customWidth="1"/>
    <col min="8" max="8" width="8.58203125" style="137" bestFit="1" customWidth="1"/>
    <col min="9" max="9" width="62.5" style="137" bestFit="1" customWidth="1"/>
    <col min="10" max="10" width="6.83203125" style="137" bestFit="1" customWidth="1"/>
  </cols>
  <sheetData>
    <row r="1" spans="1:10" ht="18" customHeight="1" thickBot="1" x14ac:dyDescent="0.5">
      <c r="A1" s="114" t="s">
        <v>104</v>
      </c>
    </row>
    <row r="2" spans="1:10" ht="27" customHeight="1" thickBot="1" x14ac:dyDescent="0.5">
      <c r="B2" s="110" t="s">
        <v>1256</v>
      </c>
      <c r="C2" s="111" t="s">
        <v>1257</v>
      </c>
      <c r="D2" s="111" t="s">
        <v>384</v>
      </c>
      <c r="E2" s="111" t="s">
        <v>1258</v>
      </c>
      <c r="F2" s="111" t="s">
        <v>1259</v>
      </c>
      <c r="G2" s="111" t="s">
        <v>1260</v>
      </c>
      <c r="H2" s="111" t="s">
        <v>1261</v>
      </c>
      <c r="I2" s="111" t="s">
        <v>11</v>
      </c>
      <c r="J2" s="111" t="s">
        <v>785</v>
      </c>
    </row>
    <row r="3" spans="1:10" ht="18" customHeight="1" thickBot="1" x14ac:dyDescent="0.5">
      <c r="B3" s="252" t="s">
        <v>1262</v>
      </c>
      <c r="C3" s="252" t="s">
        <v>1263</v>
      </c>
      <c r="D3" s="98" t="s">
        <v>808</v>
      </c>
      <c r="E3" s="98" t="s">
        <v>1264</v>
      </c>
      <c r="F3" s="98">
        <v>120</v>
      </c>
      <c r="G3" s="98" t="s">
        <v>1265</v>
      </c>
      <c r="H3" s="98" t="s">
        <v>1266</v>
      </c>
      <c r="I3" s="108" t="s">
        <v>1267</v>
      </c>
      <c r="J3" s="98" t="s">
        <v>1268</v>
      </c>
    </row>
    <row r="4" spans="1:10" ht="18" customHeight="1" thickBot="1" x14ac:dyDescent="0.5">
      <c r="B4" s="253"/>
      <c r="C4" s="253"/>
      <c r="D4" s="101" t="s">
        <v>821</v>
      </c>
      <c r="E4" s="101" t="s">
        <v>1269</v>
      </c>
      <c r="F4" s="101">
        <v>255</v>
      </c>
      <c r="G4" s="101" t="s">
        <v>1270</v>
      </c>
      <c r="H4" s="101" t="s">
        <v>1271</v>
      </c>
      <c r="I4" s="102" t="s">
        <v>1272</v>
      </c>
      <c r="J4" s="101" t="s">
        <v>1273</v>
      </c>
    </row>
    <row r="5" spans="1:10" ht="18" customHeight="1" thickBot="1" x14ac:dyDescent="0.5">
      <c r="B5" s="253"/>
      <c r="C5" s="253"/>
      <c r="D5" s="101" t="s">
        <v>839</v>
      </c>
      <c r="E5" s="101" t="s">
        <v>1269</v>
      </c>
      <c r="F5" s="101">
        <v>300</v>
      </c>
      <c r="G5" s="101" t="s">
        <v>1274</v>
      </c>
      <c r="H5" s="101" t="s">
        <v>1275</v>
      </c>
      <c r="I5" s="102" t="s">
        <v>1276</v>
      </c>
      <c r="J5" s="101" t="s">
        <v>1277</v>
      </c>
    </row>
    <row r="6" spans="1:10" ht="18" customHeight="1" thickBot="1" x14ac:dyDescent="0.5">
      <c r="B6" s="253"/>
      <c r="C6" s="253"/>
      <c r="D6" s="101" t="s">
        <v>901</v>
      </c>
      <c r="E6" s="101" t="s">
        <v>1269</v>
      </c>
      <c r="F6" s="101">
        <v>352</v>
      </c>
      <c r="G6" s="101" t="s">
        <v>1278</v>
      </c>
      <c r="H6" s="101" t="s">
        <v>1279</v>
      </c>
      <c r="I6" s="102" t="s">
        <v>1280</v>
      </c>
      <c r="J6" s="101" t="s">
        <v>1281</v>
      </c>
    </row>
    <row r="7" spans="1:10" ht="18" customHeight="1" thickBot="1" x14ac:dyDescent="0.5">
      <c r="B7" s="253"/>
      <c r="C7" s="253"/>
      <c r="D7" s="98" t="s">
        <v>919</v>
      </c>
      <c r="E7" s="98" t="s">
        <v>1264</v>
      </c>
      <c r="F7" s="98">
        <v>144</v>
      </c>
      <c r="G7" s="98" t="s">
        <v>1282</v>
      </c>
      <c r="H7" s="98" t="s">
        <v>1283</v>
      </c>
      <c r="I7" s="108" t="s">
        <v>1284</v>
      </c>
      <c r="J7" s="98" t="s">
        <v>1285</v>
      </c>
    </row>
    <row r="8" spans="1:10" ht="18" customHeight="1" thickBot="1" x14ac:dyDescent="0.5">
      <c r="B8" s="253"/>
      <c r="C8" s="253"/>
      <c r="D8" s="98" t="s">
        <v>1041</v>
      </c>
      <c r="E8" s="98" t="s">
        <v>1264</v>
      </c>
      <c r="F8" s="98">
        <v>100</v>
      </c>
      <c r="G8" s="98" t="s">
        <v>1286</v>
      </c>
      <c r="H8" s="98" t="s">
        <v>1287</v>
      </c>
      <c r="I8" s="108" t="s">
        <v>1288</v>
      </c>
      <c r="J8" s="98" t="s">
        <v>1289</v>
      </c>
    </row>
    <row r="9" spans="1:10" ht="18" customHeight="1" thickBot="1" x14ac:dyDescent="0.5">
      <c r="B9" s="253"/>
      <c r="C9" s="254"/>
      <c r="D9" s="101" t="s">
        <v>1047</v>
      </c>
      <c r="E9" s="101" t="s">
        <v>1269</v>
      </c>
      <c r="F9" s="101">
        <v>172</v>
      </c>
      <c r="G9" s="101" t="s">
        <v>1290</v>
      </c>
      <c r="H9" s="101" t="s">
        <v>1291</v>
      </c>
      <c r="I9" s="102" t="s">
        <v>1292</v>
      </c>
      <c r="J9" s="101" t="s">
        <v>1293</v>
      </c>
    </row>
    <row r="10" spans="1:10" ht="18" customHeight="1" thickBot="1" x14ac:dyDescent="0.5">
      <c r="B10" s="253"/>
      <c r="C10" s="252" t="s">
        <v>1294</v>
      </c>
      <c r="D10" s="100" t="s">
        <v>1152</v>
      </c>
      <c r="E10" s="106" t="s">
        <v>1295</v>
      </c>
      <c r="F10" s="106">
        <v>520</v>
      </c>
      <c r="G10" s="106" t="s">
        <v>1296</v>
      </c>
      <c r="H10" s="106">
        <v>173075</v>
      </c>
      <c r="I10" s="107" t="s">
        <v>1297</v>
      </c>
      <c r="J10" s="106" t="s">
        <v>1298</v>
      </c>
    </row>
    <row r="11" spans="1:10" ht="18" customHeight="1" thickBot="1" x14ac:dyDescent="0.5">
      <c r="B11" s="253"/>
      <c r="C11" s="253"/>
      <c r="D11" s="100" t="s">
        <v>1172</v>
      </c>
      <c r="E11" s="106" t="s">
        <v>1295</v>
      </c>
      <c r="F11" s="106">
        <v>143</v>
      </c>
      <c r="G11" s="106" t="s">
        <v>1299</v>
      </c>
      <c r="H11" s="106" t="s">
        <v>1300</v>
      </c>
      <c r="I11" s="107" t="s">
        <v>1301</v>
      </c>
      <c r="J11" s="106" t="s">
        <v>1302</v>
      </c>
    </row>
    <row r="12" spans="1:10" ht="18" customHeight="1" thickBot="1" x14ac:dyDescent="0.5">
      <c r="B12" s="254"/>
      <c r="C12" s="254"/>
      <c r="D12" s="101" t="s">
        <v>967</v>
      </c>
      <c r="E12" s="101" t="s">
        <v>1269</v>
      </c>
      <c r="F12" s="101">
        <v>350</v>
      </c>
      <c r="G12" s="101" t="s">
        <v>1303</v>
      </c>
      <c r="H12" s="101" t="s">
        <v>1304</v>
      </c>
      <c r="I12" s="102" t="s">
        <v>1305</v>
      </c>
      <c r="J12" s="101" t="s">
        <v>1302</v>
      </c>
    </row>
    <row r="13" spans="1:10" ht="18" customHeight="1" thickBot="1" x14ac:dyDescent="0.5">
      <c r="B13" s="252" t="s">
        <v>1306</v>
      </c>
      <c r="C13" s="252" t="s">
        <v>1294</v>
      </c>
      <c r="D13" s="100" t="s">
        <v>1121</v>
      </c>
      <c r="E13" s="106" t="s">
        <v>1295</v>
      </c>
      <c r="F13" s="106">
        <v>195</v>
      </c>
      <c r="G13" s="106" t="s">
        <v>1307</v>
      </c>
      <c r="H13" s="106" t="s">
        <v>1308</v>
      </c>
      <c r="I13" s="107" t="s">
        <v>1309</v>
      </c>
      <c r="J13" s="106" t="s">
        <v>1310</v>
      </c>
    </row>
    <row r="14" spans="1:10" ht="18" customHeight="1" thickBot="1" x14ac:dyDescent="0.5">
      <c r="B14" s="253"/>
      <c r="C14" s="253"/>
      <c r="D14" s="98" t="s">
        <v>925</v>
      </c>
      <c r="E14" s="98" t="s">
        <v>1264</v>
      </c>
      <c r="F14" s="98">
        <v>77</v>
      </c>
      <c r="G14" s="99" t="s">
        <v>1311</v>
      </c>
      <c r="H14" s="98" t="s">
        <v>1312</v>
      </c>
      <c r="I14" s="108" t="s">
        <v>1313</v>
      </c>
      <c r="J14" s="98" t="s">
        <v>1314</v>
      </c>
    </row>
    <row r="15" spans="1:10" ht="18" customHeight="1" thickBot="1" x14ac:dyDescent="0.5">
      <c r="B15" s="253"/>
      <c r="C15" s="253"/>
      <c r="D15" s="100" t="s">
        <v>1086</v>
      </c>
      <c r="E15" s="106" t="s">
        <v>1295</v>
      </c>
      <c r="F15" s="106">
        <v>360</v>
      </c>
      <c r="G15" s="106" t="s">
        <v>1315</v>
      </c>
      <c r="H15" s="106" t="s">
        <v>1316</v>
      </c>
      <c r="I15" s="107" t="s">
        <v>1090</v>
      </c>
      <c r="J15" s="106" t="s">
        <v>1317</v>
      </c>
    </row>
    <row r="16" spans="1:10" ht="18" customHeight="1" thickBot="1" x14ac:dyDescent="0.5">
      <c r="B16" s="253"/>
      <c r="C16" s="253"/>
      <c r="D16" s="100" t="s">
        <v>1115</v>
      </c>
      <c r="E16" s="106" t="s">
        <v>1295</v>
      </c>
      <c r="F16" s="106">
        <v>262</v>
      </c>
      <c r="G16" s="106" t="s">
        <v>1318</v>
      </c>
      <c r="H16" s="106" t="s">
        <v>1319</v>
      </c>
      <c r="I16" s="107" t="s">
        <v>1320</v>
      </c>
      <c r="J16" s="106" t="s">
        <v>1321</v>
      </c>
    </row>
    <row r="17" spans="2:10" ht="18" customHeight="1" thickBot="1" x14ac:dyDescent="0.5">
      <c r="B17" s="253"/>
      <c r="C17" s="253"/>
      <c r="D17" s="104" t="s">
        <v>1135</v>
      </c>
      <c r="E17" s="104" t="s">
        <v>1240</v>
      </c>
      <c r="F17" s="104">
        <v>30</v>
      </c>
      <c r="G17" s="104" t="s">
        <v>1322</v>
      </c>
      <c r="H17" s="104">
        <v>215500</v>
      </c>
      <c r="I17" s="105" t="s">
        <v>1323</v>
      </c>
      <c r="J17" s="104" t="s">
        <v>1310</v>
      </c>
    </row>
    <row r="18" spans="2:10" ht="18" customHeight="1" thickBot="1" x14ac:dyDescent="0.5">
      <c r="B18" s="253"/>
      <c r="C18" s="253"/>
      <c r="D18" s="100" t="s">
        <v>1145</v>
      </c>
      <c r="E18" s="106" t="s">
        <v>1295</v>
      </c>
      <c r="F18" s="106">
        <v>48</v>
      </c>
      <c r="G18" s="106" t="s">
        <v>1324</v>
      </c>
      <c r="H18" s="106" t="s">
        <v>1325</v>
      </c>
      <c r="I18" s="107" t="s">
        <v>1326</v>
      </c>
      <c r="J18" s="106" t="s">
        <v>1327</v>
      </c>
    </row>
    <row r="19" spans="2:10" ht="18" customHeight="1" thickBot="1" x14ac:dyDescent="0.5">
      <c r="B19" s="253"/>
      <c r="C19" s="253"/>
      <c r="D19" s="104" t="s">
        <v>1328</v>
      </c>
      <c r="E19" s="104" t="s">
        <v>1240</v>
      </c>
      <c r="F19" s="104">
        <v>8.3000000000000007</v>
      </c>
      <c r="G19" s="104" t="s">
        <v>1329</v>
      </c>
      <c r="H19" s="104" t="s">
        <v>1330</v>
      </c>
      <c r="I19" s="105" t="s">
        <v>1331</v>
      </c>
      <c r="J19" s="104" t="s">
        <v>1327</v>
      </c>
    </row>
    <row r="20" spans="2:10" ht="18" customHeight="1" thickBot="1" x14ac:dyDescent="0.5">
      <c r="B20" s="253"/>
      <c r="C20" s="253"/>
      <c r="D20" s="101" t="s">
        <v>871</v>
      </c>
      <c r="E20" s="101" t="s">
        <v>1269</v>
      </c>
      <c r="F20" s="101">
        <v>215</v>
      </c>
      <c r="G20" s="101" t="s">
        <v>1332</v>
      </c>
      <c r="H20" s="101" t="s">
        <v>1333</v>
      </c>
      <c r="I20" s="102" t="s">
        <v>875</v>
      </c>
      <c r="J20" s="101" t="s">
        <v>1334</v>
      </c>
    </row>
    <row r="21" spans="2:10" ht="18" customHeight="1" thickBot="1" x14ac:dyDescent="0.5">
      <c r="B21" s="253"/>
      <c r="C21" s="253"/>
      <c r="D21" s="101" t="s">
        <v>1221</v>
      </c>
      <c r="E21" s="101" t="s">
        <v>1269</v>
      </c>
      <c r="F21" s="101">
        <v>280</v>
      </c>
      <c r="G21" s="101" t="s">
        <v>1335</v>
      </c>
      <c r="H21" s="101" t="s">
        <v>1336</v>
      </c>
      <c r="I21" s="102" t="s">
        <v>1337</v>
      </c>
      <c r="J21" s="101" t="s">
        <v>1338</v>
      </c>
    </row>
    <row r="22" spans="2:10" ht="18" customHeight="1" thickBot="1" x14ac:dyDescent="0.5">
      <c r="B22" s="253"/>
      <c r="C22" s="253"/>
      <c r="D22" s="100" t="s">
        <v>1156</v>
      </c>
      <c r="E22" s="106" t="s">
        <v>1295</v>
      </c>
      <c r="F22" s="106">
        <v>208</v>
      </c>
      <c r="G22" s="106" t="s">
        <v>1339</v>
      </c>
      <c r="H22" s="106">
        <v>237664</v>
      </c>
      <c r="I22" s="107" t="s">
        <v>1340</v>
      </c>
      <c r="J22" s="106" t="s">
        <v>1341</v>
      </c>
    </row>
    <row r="23" spans="2:10" ht="18" customHeight="1" thickBot="1" x14ac:dyDescent="0.5">
      <c r="B23" s="253"/>
      <c r="C23" s="253"/>
      <c r="D23" s="100" t="s">
        <v>1162</v>
      </c>
      <c r="E23" s="106" t="s">
        <v>1295</v>
      </c>
      <c r="F23" s="106">
        <v>45</v>
      </c>
      <c r="G23" s="106" t="s">
        <v>1342</v>
      </c>
      <c r="H23" s="106">
        <v>237665</v>
      </c>
      <c r="I23" s="107" t="s">
        <v>1343</v>
      </c>
      <c r="J23" s="106" t="s">
        <v>1341</v>
      </c>
    </row>
    <row r="24" spans="2:10" ht="18" customHeight="1" thickBot="1" x14ac:dyDescent="0.5">
      <c r="B24" s="253"/>
      <c r="C24" s="253"/>
      <c r="D24" s="104" t="s">
        <v>1231</v>
      </c>
      <c r="E24" s="104" t="s">
        <v>1240</v>
      </c>
      <c r="F24" s="104">
        <v>92.1</v>
      </c>
      <c r="G24" s="104" t="s">
        <v>1344</v>
      </c>
      <c r="H24" s="104" t="s">
        <v>1345</v>
      </c>
      <c r="I24" s="105" t="s">
        <v>1346</v>
      </c>
      <c r="J24" s="104" t="s">
        <v>1347</v>
      </c>
    </row>
    <row r="25" spans="2:10" ht="18" customHeight="1" thickBot="1" x14ac:dyDescent="0.5">
      <c r="B25" s="254"/>
      <c r="C25" s="254"/>
      <c r="D25" s="104" t="s">
        <v>1204</v>
      </c>
      <c r="E25" s="104" t="s">
        <v>1240</v>
      </c>
      <c r="F25" s="104">
        <v>16.5</v>
      </c>
      <c r="G25" s="104" t="s">
        <v>1348</v>
      </c>
      <c r="H25" s="104" t="s">
        <v>1349</v>
      </c>
      <c r="I25" s="105" t="s">
        <v>1350</v>
      </c>
      <c r="J25" s="104" t="s">
        <v>1351</v>
      </c>
    </row>
    <row r="26" spans="2:10" ht="18" customHeight="1" thickBot="1" x14ac:dyDescent="0.5">
      <c r="B26" s="252" t="s">
        <v>1184</v>
      </c>
      <c r="C26" s="252" t="s">
        <v>1352</v>
      </c>
      <c r="D26" s="104" t="s">
        <v>1142</v>
      </c>
      <c r="E26" s="104" t="s">
        <v>1240</v>
      </c>
      <c r="F26" s="104">
        <v>24</v>
      </c>
      <c r="G26" s="104" t="s">
        <v>1353</v>
      </c>
      <c r="H26" s="104" t="s">
        <v>1354</v>
      </c>
      <c r="I26" s="105" t="s">
        <v>1355</v>
      </c>
      <c r="J26" s="104" t="s">
        <v>1356</v>
      </c>
    </row>
    <row r="27" spans="2:10" ht="18" customHeight="1" thickBot="1" x14ac:dyDescent="0.5">
      <c r="B27" s="253"/>
      <c r="C27" s="254"/>
      <c r="D27" s="104" t="s">
        <v>1187</v>
      </c>
      <c r="E27" s="104" t="s">
        <v>1240</v>
      </c>
      <c r="F27" s="104">
        <v>39</v>
      </c>
      <c r="G27" s="104" t="s">
        <v>1357</v>
      </c>
      <c r="H27" s="104" t="s">
        <v>1358</v>
      </c>
      <c r="I27" s="105" t="s">
        <v>1359</v>
      </c>
      <c r="J27" s="104" t="s">
        <v>1356</v>
      </c>
    </row>
    <row r="28" spans="2:10" ht="18" customHeight="1" thickBot="1" x14ac:dyDescent="0.5">
      <c r="B28" s="253"/>
      <c r="C28" s="252" t="s">
        <v>1360</v>
      </c>
      <c r="D28" s="100" t="s">
        <v>1080</v>
      </c>
      <c r="E28" s="106" t="s">
        <v>1295</v>
      </c>
      <c r="F28" s="106">
        <v>279</v>
      </c>
      <c r="G28" s="106" t="s">
        <v>1361</v>
      </c>
      <c r="H28" s="106" t="s">
        <v>1362</v>
      </c>
      <c r="I28" s="107" t="s">
        <v>1363</v>
      </c>
      <c r="J28" s="106" t="s">
        <v>1364</v>
      </c>
    </row>
    <row r="29" spans="2:10" ht="18" customHeight="1" thickBot="1" x14ac:dyDescent="0.5">
      <c r="B29" s="253"/>
      <c r="C29" s="253"/>
      <c r="D29" s="98" t="s">
        <v>883</v>
      </c>
      <c r="E29" s="98" t="s">
        <v>1264</v>
      </c>
      <c r="F29" s="98">
        <v>183</v>
      </c>
      <c r="G29" s="99" t="s">
        <v>1365</v>
      </c>
      <c r="H29" s="98" t="s">
        <v>1366</v>
      </c>
      <c r="I29" s="108" t="s">
        <v>1367</v>
      </c>
      <c r="J29" s="98" t="s">
        <v>1368</v>
      </c>
    </row>
    <row r="30" spans="2:10" ht="18" customHeight="1" thickBot="1" x14ac:dyDescent="0.5">
      <c r="B30" s="253"/>
      <c r="C30" s="253"/>
      <c r="D30" s="98" t="s">
        <v>1214</v>
      </c>
      <c r="E30" s="98" t="s">
        <v>1264</v>
      </c>
      <c r="F30" s="98">
        <v>106</v>
      </c>
      <c r="G30" s="99" t="s">
        <v>1369</v>
      </c>
      <c r="H30" s="98" t="s">
        <v>1370</v>
      </c>
      <c r="I30" s="108" t="s">
        <v>1371</v>
      </c>
      <c r="J30" s="98" t="s">
        <v>1372</v>
      </c>
    </row>
    <row r="31" spans="2:10" ht="18" customHeight="1" thickBot="1" x14ac:dyDescent="0.5">
      <c r="B31" s="253"/>
      <c r="C31" s="253"/>
      <c r="D31" s="101" t="s">
        <v>895</v>
      </c>
      <c r="E31" s="101" t="s">
        <v>1269</v>
      </c>
      <c r="F31" s="101">
        <v>260</v>
      </c>
      <c r="G31" s="101" t="s">
        <v>1373</v>
      </c>
      <c r="H31" s="101" t="s">
        <v>1374</v>
      </c>
      <c r="I31" s="102" t="s">
        <v>1375</v>
      </c>
      <c r="J31" s="101" t="s">
        <v>1376</v>
      </c>
    </row>
    <row r="32" spans="2:10" ht="18" customHeight="1" thickBot="1" x14ac:dyDescent="0.5">
      <c r="B32" s="253"/>
      <c r="C32" s="253"/>
      <c r="D32" s="100" t="s">
        <v>1105</v>
      </c>
      <c r="E32" s="106" t="s">
        <v>1295</v>
      </c>
      <c r="F32" s="106">
        <v>296</v>
      </c>
      <c r="G32" s="106" t="s">
        <v>1377</v>
      </c>
      <c r="H32" s="106" t="s">
        <v>1378</v>
      </c>
      <c r="I32" s="107" t="s">
        <v>1379</v>
      </c>
      <c r="J32" s="106" t="s">
        <v>1380</v>
      </c>
    </row>
    <row r="33" spans="2:10" ht="18" customHeight="1" thickBot="1" x14ac:dyDescent="0.5">
      <c r="B33" s="253"/>
      <c r="C33" s="253"/>
      <c r="D33" s="101" t="s">
        <v>997</v>
      </c>
      <c r="E33" s="101" t="s">
        <v>1269</v>
      </c>
      <c r="F33" s="101">
        <v>241</v>
      </c>
      <c r="G33" s="101" t="s">
        <v>1381</v>
      </c>
      <c r="H33" s="101" t="s">
        <v>1382</v>
      </c>
      <c r="I33" s="102" t="s">
        <v>1383</v>
      </c>
      <c r="J33" s="101" t="s">
        <v>1384</v>
      </c>
    </row>
    <row r="34" spans="2:10" ht="18" customHeight="1" thickBot="1" x14ac:dyDescent="0.5">
      <c r="B34" s="253"/>
      <c r="C34" s="253"/>
      <c r="D34" s="98" t="s">
        <v>1003</v>
      </c>
      <c r="E34" s="98" t="s">
        <v>1264</v>
      </c>
      <c r="F34" s="98">
        <v>165</v>
      </c>
      <c r="G34" s="99" t="s">
        <v>1385</v>
      </c>
      <c r="H34" s="98" t="s">
        <v>1386</v>
      </c>
      <c r="I34" s="108" t="s">
        <v>1387</v>
      </c>
      <c r="J34" s="98" t="s">
        <v>1388</v>
      </c>
    </row>
    <row r="35" spans="2:10" ht="18" customHeight="1" thickBot="1" x14ac:dyDescent="0.5">
      <c r="B35" s="253"/>
      <c r="C35" s="253"/>
      <c r="D35" s="101" t="s">
        <v>1009</v>
      </c>
      <c r="E35" s="101" t="s">
        <v>1269</v>
      </c>
      <c r="F35" s="101">
        <v>295</v>
      </c>
      <c r="G35" s="101" t="s">
        <v>1389</v>
      </c>
      <c r="H35" s="101" t="s">
        <v>1390</v>
      </c>
      <c r="I35" s="102" t="s">
        <v>1391</v>
      </c>
      <c r="J35" s="101" t="s">
        <v>1392</v>
      </c>
    </row>
    <row r="36" spans="2:10" ht="18" customHeight="1" thickBot="1" x14ac:dyDescent="0.5">
      <c r="B36" s="253"/>
      <c r="C36" s="253"/>
      <c r="D36" s="99" t="s">
        <v>1015</v>
      </c>
      <c r="E36" s="98" t="s">
        <v>1264</v>
      </c>
      <c r="F36" s="98">
        <v>120</v>
      </c>
      <c r="G36" s="99" t="s">
        <v>1393</v>
      </c>
      <c r="H36" s="98" t="s">
        <v>1394</v>
      </c>
      <c r="I36" s="108" t="s">
        <v>1395</v>
      </c>
      <c r="J36" s="98" t="s">
        <v>1396</v>
      </c>
    </row>
    <row r="37" spans="2:10" ht="18" customHeight="1" thickBot="1" x14ac:dyDescent="0.5">
      <c r="B37" s="253"/>
      <c r="C37" s="253"/>
      <c r="D37" s="100" t="s">
        <v>1193</v>
      </c>
      <c r="E37" s="106" t="s">
        <v>1295</v>
      </c>
      <c r="F37" s="106">
        <v>11</v>
      </c>
      <c r="G37" s="106" t="s">
        <v>1397</v>
      </c>
      <c r="H37" s="106" t="s">
        <v>1398</v>
      </c>
      <c r="I37" s="107" t="s">
        <v>1399</v>
      </c>
      <c r="J37" s="106" t="s">
        <v>1364</v>
      </c>
    </row>
    <row r="38" spans="2:10" ht="18" customHeight="1" thickBot="1" x14ac:dyDescent="0.5">
      <c r="B38" s="254"/>
      <c r="C38" s="254"/>
      <c r="D38" s="104" t="s">
        <v>1226</v>
      </c>
      <c r="E38" s="104" t="s">
        <v>1240</v>
      </c>
      <c r="F38" s="104">
        <v>143</v>
      </c>
      <c r="G38" s="109" t="s">
        <v>1400</v>
      </c>
      <c r="H38" s="104" t="s">
        <v>1401</v>
      </c>
      <c r="I38" s="105" t="s">
        <v>1402</v>
      </c>
      <c r="J38" s="104" t="s">
        <v>1364</v>
      </c>
    </row>
    <row r="39" spans="2:10" ht="18" customHeight="1" thickBot="1" x14ac:dyDescent="0.5">
      <c r="B39" s="252" t="s">
        <v>1205</v>
      </c>
      <c r="C39" s="252" t="s">
        <v>1403</v>
      </c>
      <c r="D39" s="112" t="s">
        <v>1073</v>
      </c>
      <c r="E39" s="112" t="s">
        <v>1295</v>
      </c>
      <c r="F39" s="112">
        <v>396</v>
      </c>
      <c r="G39" s="112" t="s">
        <v>1404</v>
      </c>
      <c r="H39" s="112" t="s">
        <v>1405</v>
      </c>
      <c r="I39" s="113" t="s">
        <v>1406</v>
      </c>
      <c r="J39" s="112" t="s">
        <v>1407</v>
      </c>
    </row>
    <row r="40" spans="2:10" ht="18" customHeight="1" thickBot="1" x14ac:dyDescent="0.5">
      <c r="B40" s="253"/>
      <c r="C40" s="253"/>
      <c r="D40" s="101" t="s">
        <v>845</v>
      </c>
      <c r="E40" s="101" t="s">
        <v>1269</v>
      </c>
      <c r="F40" s="101">
        <v>300</v>
      </c>
      <c r="G40" s="101" t="s">
        <v>1408</v>
      </c>
      <c r="H40" s="101" t="s">
        <v>1409</v>
      </c>
      <c r="I40" s="102" t="s">
        <v>1410</v>
      </c>
      <c r="J40" s="101" t="s">
        <v>1411</v>
      </c>
    </row>
    <row r="41" spans="2:10" ht="18" customHeight="1" thickBot="1" x14ac:dyDescent="0.5">
      <c r="B41" s="253"/>
      <c r="C41" s="253"/>
      <c r="D41" s="101" t="s">
        <v>857</v>
      </c>
      <c r="E41" s="101" t="s">
        <v>1269</v>
      </c>
      <c r="F41" s="101">
        <v>350</v>
      </c>
      <c r="G41" s="101" t="s">
        <v>1412</v>
      </c>
      <c r="H41" s="101" t="s">
        <v>1413</v>
      </c>
      <c r="I41" s="102" t="s">
        <v>1414</v>
      </c>
      <c r="J41" s="101" t="s">
        <v>1407</v>
      </c>
    </row>
    <row r="42" spans="2:10" ht="18" customHeight="1" thickBot="1" x14ac:dyDescent="0.5">
      <c r="B42" s="253"/>
      <c r="C42" s="253"/>
      <c r="D42" s="101" t="s">
        <v>1213</v>
      </c>
      <c r="E42" s="101" t="s">
        <v>1269</v>
      </c>
      <c r="F42" s="101">
        <v>225</v>
      </c>
      <c r="G42" s="101" t="s">
        <v>1415</v>
      </c>
      <c r="H42" s="101" t="s">
        <v>1416</v>
      </c>
      <c r="I42" s="102" t="s">
        <v>1417</v>
      </c>
      <c r="J42" s="101" t="s">
        <v>1418</v>
      </c>
    </row>
    <row r="43" spans="2:10" ht="18" customHeight="1" thickBot="1" x14ac:dyDescent="0.5">
      <c r="B43" s="253"/>
      <c r="C43" s="253"/>
      <c r="D43" s="101" t="s">
        <v>907</v>
      </c>
      <c r="E43" s="101" t="s">
        <v>1269</v>
      </c>
      <c r="F43" s="101">
        <v>186</v>
      </c>
      <c r="G43" s="101" t="s">
        <v>1419</v>
      </c>
      <c r="H43" s="101" t="s">
        <v>1420</v>
      </c>
      <c r="I43" s="102" t="s">
        <v>1421</v>
      </c>
      <c r="J43" s="101" t="s">
        <v>1422</v>
      </c>
    </row>
    <row r="44" spans="2:10" ht="18" customHeight="1" thickBot="1" x14ac:dyDescent="0.5">
      <c r="B44" s="253"/>
      <c r="C44" s="253"/>
      <c r="D44" s="104" t="s">
        <v>1423</v>
      </c>
      <c r="E44" s="104" t="s">
        <v>1240</v>
      </c>
      <c r="F44" s="104">
        <v>58.8</v>
      </c>
      <c r="G44" s="104" t="s">
        <v>1424</v>
      </c>
      <c r="H44" s="104" t="s">
        <v>1425</v>
      </c>
      <c r="I44" s="105" t="s">
        <v>1426</v>
      </c>
      <c r="J44" s="104" t="s">
        <v>1422</v>
      </c>
    </row>
    <row r="45" spans="2:10" ht="18" customHeight="1" thickBot="1" x14ac:dyDescent="0.5">
      <c r="B45" s="253"/>
      <c r="C45" s="253"/>
      <c r="D45" s="101" t="s">
        <v>973</v>
      </c>
      <c r="E45" s="101" t="s">
        <v>1269</v>
      </c>
      <c r="F45" s="101">
        <v>300</v>
      </c>
      <c r="G45" s="101" t="s">
        <v>1427</v>
      </c>
      <c r="H45" s="101" t="s">
        <v>1428</v>
      </c>
      <c r="I45" s="102" t="s">
        <v>1429</v>
      </c>
      <c r="J45" s="101" t="s">
        <v>1430</v>
      </c>
    </row>
    <row r="46" spans="2:10" ht="18" customHeight="1" thickBot="1" x14ac:dyDescent="0.5">
      <c r="B46" s="253"/>
      <c r="C46" s="253"/>
      <c r="D46" s="101" t="s">
        <v>979</v>
      </c>
      <c r="E46" s="101" t="s">
        <v>1269</v>
      </c>
      <c r="F46" s="101">
        <v>202</v>
      </c>
      <c r="G46" s="101" t="s">
        <v>1431</v>
      </c>
      <c r="H46" s="101" t="s">
        <v>1432</v>
      </c>
      <c r="I46" s="102" t="s">
        <v>1433</v>
      </c>
      <c r="J46" s="101" t="s">
        <v>1434</v>
      </c>
    </row>
    <row r="47" spans="2:10" ht="18" customHeight="1" thickBot="1" x14ac:dyDescent="0.5">
      <c r="B47" s="253"/>
      <c r="C47" s="254"/>
      <c r="D47" s="100" t="s">
        <v>1104</v>
      </c>
      <c r="E47" s="100" t="s">
        <v>1295</v>
      </c>
      <c r="F47" s="106">
        <v>298</v>
      </c>
      <c r="G47" s="106" t="s">
        <v>1435</v>
      </c>
      <c r="H47" s="106">
        <v>238019</v>
      </c>
      <c r="I47" s="107" t="s">
        <v>1436</v>
      </c>
      <c r="J47" s="106" t="s">
        <v>1407</v>
      </c>
    </row>
    <row r="48" spans="2:10" ht="18" customHeight="1" thickBot="1" x14ac:dyDescent="0.5">
      <c r="B48" s="253"/>
      <c r="C48" s="252" t="s">
        <v>1263</v>
      </c>
      <c r="D48" s="101" t="s">
        <v>789</v>
      </c>
      <c r="E48" s="101" t="s">
        <v>1269</v>
      </c>
      <c r="F48" s="101">
        <v>210</v>
      </c>
      <c r="G48" s="101" t="s">
        <v>1437</v>
      </c>
      <c r="H48" s="101" t="s">
        <v>1438</v>
      </c>
      <c r="I48" s="102" t="s">
        <v>1439</v>
      </c>
      <c r="J48" s="101" t="s">
        <v>1440</v>
      </c>
    </row>
    <row r="49" spans="2:10" ht="18" customHeight="1" thickBot="1" x14ac:dyDescent="0.5">
      <c r="B49" s="253"/>
      <c r="C49" s="253"/>
      <c r="D49" s="101" t="s">
        <v>943</v>
      </c>
      <c r="E49" s="101" t="s">
        <v>1269</v>
      </c>
      <c r="F49" s="101">
        <v>170</v>
      </c>
      <c r="G49" s="101" t="s">
        <v>1441</v>
      </c>
      <c r="H49" s="101" t="s">
        <v>1442</v>
      </c>
      <c r="I49" s="102" t="s">
        <v>1443</v>
      </c>
      <c r="J49" s="101" t="s">
        <v>1444</v>
      </c>
    </row>
    <row r="50" spans="2:10" ht="18" customHeight="1" thickBot="1" x14ac:dyDescent="0.5">
      <c r="B50" s="254"/>
      <c r="C50" s="254"/>
      <c r="D50" s="101" t="s">
        <v>1021</v>
      </c>
      <c r="E50" s="101" t="s">
        <v>1269</v>
      </c>
      <c r="F50" s="101">
        <v>250</v>
      </c>
      <c r="G50" s="101" t="s">
        <v>1445</v>
      </c>
      <c r="H50" s="101" t="s">
        <v>1446</v>
      </c>
      <c r="I50" s="102" t="s">
        <v>1447</v>
      </c>
      <c r="J50" s="101" t="s">
        <v>1448</v>
      </c>
    </row>
    <row r="51" spans="2:10" ht="18" customHeight="1" thickBot="1" x14ac:dyDescent="0.5">
      <c r="B51" s="252" t="s">
        <v>1200</v>
      </c>
      <c r="C51" s="252" t="s">
        <v>1449</v>
      </c>
      <c r="D51" s="101" t="s">
        <v>1219</v>
      </c>
      <c r="E51" s="101" t="s">
        <v>1269</v>
      </c>
      <c r="F51" s="101">
        <v>328</v>
      </c>
      <c r="G51" s="101" t="s">
        <v>1450</v>
      </c>
      <c r="H51" s="101" t="s">
        <v>1451</v>
      </c>
      <c r="I51" s="102" t="s">
        <v>1452</v>
      </c>
      <c r="J51" s="101" t="s">
        <v>1453</v>
      </c>
    </row>
    <row r="52" spans="2:10" ht="18" customHeight="1" thickBot="1" x14ac:dyDescent="0.5">
      <c r="B52" s="253"/>
      <c r="C52" s="253"/>
      <c r="D52" s="101" t="s">
        <v>1201</v>
      </c>
      <c r="E52" s="101" t="s">
        <v>1269</v>
      </c>
      <c r="F52" s="101">
        <v>111</v>
      </c>
      <c r="G52" s="101" t="s">
        <v>1454</v>
      </c>
      <c r="H52" s="101" t="s">
        <v>1455</v>
      </c>
      <c r="I52" s="102" t="s">
        <v>1456</v>
      </c>
      <c r="J52" s="101" t="s">
        <v>1457</v>
      </c>
    </row>
    <row r="53" spans="2:10" ht="18" customHeight="1" thickBot="1" x14ac:dyDescent="0.5">
      <c r="B53" s="253"/>
      <c r="C53" s="253"/>
      <c r="D53" s="100" t="s">
        <v>833</v>
      </c>
      <c r="E53" s="106" t="s">
        <v>1269</v>
      </c>
      <c r="F53" s="106">
        <v>210</v>
      </c>
      <c r="G53" s="106" t="s">
        <v>1458</v>
      </c>
      <c r="H53" s="106" t="s">
        <v>1459</v>
      </c>
      <c r="I53" s="107" t="s">
        <v>1460</v>
      </c>
      <c r="J53" s="106" t="s">
        <v>1461</v>
      </c>
    </row>
    <row r="54" spans="2:10" ht="18" customHeight="1" thickBot="1" x14ac:dyDescent="0.5">
      <c r="B54" s="253"/>
      <c r="C54" s="253"/>
      <c r="D54" s="98" t="s">
        <v>1129</v>
      </c>
      <c r="E54" s="98" t="s">
        <v>1295</v>
      </c>
      <c r="F54" s="99">
        <v>188</v>
      </c>
      <c r="G54" s="98" t="s">
        <v>1462</v>
      </c>
      <c r="H54" s="98" t="s">
        <v>1463</v>
      </c>
      <c r="I54" s="108" t="s">
        <v>1464</v>
      </c>
      <c r="J54" s="98" t="s">
        <v>1457</v>
      </c>
    </row>
    <row r="55" spans="2:10" ht="18" customHeight="1" thickBot="1" x14ac:dyDescent="0.5">
      <c r="B55" s="253"/>
      <c r="C55" s="253"/>
      <c r="D55" s="101" t="s">
        <v>851</v>
      </c>
      <c r="E55" s="101" t="s">
        <v>1264</v>
      </c>
      <c r="F55" s="101">
        <v>120</v>
      </c>
      <c r="G55" s="101" t="s">
        <v>1465</v>
      </c>
      <c r="H55" s="101" t="s">
        <v>1466</v>
      </c>
      <c r="I55" s="102" t="s">
        <v>1467</v>
      </c>
      <c r="J55" s="101" t="s">
        <v>1468</v>
      </c>
    </row>
    <row r="56" spans="2:10" ht="18" customHeight="1" thickBot="1" x14ac:dyDescent="0.5">
      <c r="B56" s="253"/>
      <c r="C56" s="253"/>
      <c r="D56" s="101" t="s">
        <v>931</v>
      </c>
      <c r="E56" s="101" t="s">
        <v>1269</v>
      </c>
      <c r="F56" s="101">
        <v>200</v>
      </c>
      <c r="G56" s="101" t="s">
        <v>1469</v>
      </c>
      <c r="H56" s="101" t="s">
        <v>1470</v>
      </c>
      <c r="I56" s="102" t="s">
        <v>1471</v>
      </c>
      <c r="J56" s="101" t="s">
        <v>1472</v>
      </c>
    </row>
    <row r="57" spans="2:10" ht="18" customHeight="1" thickBot="1" x14ac:dyDescent="0.5">
      <c r="B57" s="253"/>
      <c r="C57" s="253"/>
      <c r="D57" s="101" t="s">
        <v>937</v>
      </c>
      <c r="E57" s="101" t="s">
        <v>1269</v>
      </c>
      <c r="F57" s="101">
        <v>400</v>
      </c>
      <c r="G57" s="101" t="s">
        <v>1473</v>
      </c>
      <c r="H57" s="101" t="s">
        <v>1474</v>
      </c>
      <c r="I57" s="102" t="s">
        <v>1475</v>
      </c>
      <c r="J57" s="101" t="s">
        <v>1476</v>
      </c>
    </row>
    <row r="58" spans="2:10" ht="18" customHeight="1" thickBot="1" x14ac:dyDescent="0.5">
      <c r="B58" s="253"/>
      <c r="C58" s="253"/>
      <c r="D58" s="101" t="s">
        <v>985</v>
      </c>
      <c r="E58" s="101" t="s">
        <v>1269</v>
      </c>
      <c r="F58" s="101">
        <v>250</v>
      </c>
      <c r="G58" s="101" t="s">
        <v>1477</v>
      </c>
      <c r="H58" s="101" t="s">
        <v>1478</v>
      </c>
      <c r="I58" s="102" t="s">
        <v>1479</v>
      </c>
      <c r="J58" s="101" t="s">
        <v>1480</v>
      </c>
    </row>
    <row r="59" spans="2:10" ht="18" customHeight="1" thickBot="1" x14ac:dyDescent="0.5">
      <c r="B59" s="253"/>
      <c r="C59" s="253"/>
      <c r="D59" s="101" t="s">
        <v>991</v>
      </c>
      <c r="E59" s="101" t="s">
        <v>1269</v>
      </c>
      <c r="F59" s="101">
        <v>150</v>
      </c>
      <c r="G59" s="101" t="s">
        <v>1481</v>
      </c>
      <c r="H59" s="101" t="s">
        <v>1482</v>
      </c>
      <c r="I59" s="102" t="s">
        <v>995</v>
      </c>
      <c r="J59" s="101" t="s">
        <v>1483</v>
      </c>
    </row>
    <row r="60" spans="2:10" ht="18" customHeight="1" thickBot="1" x14ac:dyDescent="0.5">
      <c r="B60" s="253"/>
      <c r="C60" s="253"/>
      <c r="D60" s="104" t="s">
        <v>1053</v>
      </c>
      <c r="E60" s="104" t="s">
        <v>1269</v>
      </c>
      <c r="F60" s="104">
        <v>255</v>
      </c>
      <c r="G60" s="104" t="s">
        <v>1484</v>
      </c>
      <c r="H60" s="104" t="s">
        <v>1485</v>
      </c>
      <c r="I60" s="105" t="s">
        <v>1486</v>
      </c>
      <c r="J60" s="104" t="s">
        <v>1487</v>
      </c>
    </row>
    <row r="61" spans="2:10" ht="18" customHeight="1" thickBot="1" x14ac:dyDescent="0.5">
      <c r="B61" s="254"/>
      <c r="C61" s="254"/>
      <c r="D61" s="100" t="s">
        <v>1202</v>
      </c>
      <c r="E61" s="106" t="s">
        <v>1240</v>
      </c>
      <c r="F61" s="106">
        <v>80</v>
      </c>
      <c r="G61" s="106" t="s">
        <v>1488</v>
      </c>
      <c r="H61" s="106" t="s">
        <v>1489</v>
      </c>
      <c r="I61" s="107" t="s">
        <v>1490</v>
      </c>
      <c r="J61" s="106" t="s">
        <v>1453</v>
      </c>
    </row>
    <row r="62" spans="2:10" ht="18" customHeight="1" thickBot="1" x14ac:dyDescent="0.5">
      <c r="B62" s="252" t="s">
        <v>1196</v>
      </c>
      <c r="C62" s="252" t="s">
        <v>1294</v>
      </c>
      <c r="D62" s="100" t="s">
        <v>1251</v>
      </c>
      <c r="E62" s="106" t="s">
        <v>1295</v>
      </c>
      <c r="F62" s="106">
        <v>135</v>
      </c>
      <c r="G62" s="106" t="s">
        <v>1491</v>
      </c>
      <c r="H62" s="106" t="s">
        <v>1492</v>
      </c>
      <c r="I62" s="107" t="s">
        <v>1493</v>
      </c>
      <c r="J62" s="106" t="s">
        <v>1494</v>
      </c>
    </row>
    <row r="63" spans="2:10" ht="18" customHeight="1" thickBot="1" x14ac:dyDescent="0.5">
      <c r="B63" s="253"/>
      <c r="C63" s="253"/>
      <c r="D63" s="101" t="s">
        <v>1098</v>
      </c>
      <c r="E63" s="101" t="s">
        <v>1295</v>
      </c>
      <c r="F63" s="101">
        <v>140</v>
      </c>
      <c r="G63" s="101" t="s">
        <v>1495</v>
      </c>
      <c r="H63" s="101" t="s">
        <v>1496</v>
      </c>
      <c r="I63" s="102" t="s">
        <v>1497</v>
      </c>
      <c r="J63" s="101" t="s">
        <v>1498</v>
      </c>
    </row>
    <row r="64" spans="2:10" ht="18" customHeight="1" thickBot="1" x14ac:dyDescent="0.5">
      <c r="B64" s="253"/>
      <c r="C64" s="253"/>
      <c r="D64" s="101" t="s">
        <v>961</v>
      </c>
      <c r="E64" s="101" t="s">
        <v>1269</v>
      </c>
      <c r="F64" s="101">
        <v>230</v>
      </c>
      <c r="G64" s="101" t="s">
        <v>1499</v>
      </c>
      <c r="H64" s="101" t="s">
        <v>1500</v>
      </c>
      <c r="I64" s="102" t="s">
        <v>1501</v>
      </c>
      <c r="J64" s="101" t="s">
        <v>1494</v>
      </c>
    </row>
    <row r="65" spans="2:10" ht="18" customHeight="1" thickBot="1" x14ac:dyDescent="0.5">
      <c r="B65" s="253"/>
      <c r="C65" s="253"/>
      <c r="D65" s="101" t="s">
        <v>827</v>
      </c>
      <c r="E65" s="101" t="s">
        <v>1269</v>
      </c>
      <c r="F65" s="101">
        <v>210</v>
      </c>
      <c r="G65" s="101" t="s">
        <v>1502</v>
      </c>
      <c r="H65" s="101" t="s">
        <v>1503</v>
      </c>
      <c r="I65" s="102" t="s">
        <v>1504</v>
      </c>
      <c r="J65" s="101" t="s">
        <v>1505</v>
      </c>
    </row>
    <row r="66" spans="2:10" ht="18" customHeight="1" thickBot="1" x14ac:dyDescent="0.5">
      <c r="B66" s="253"/>
      <c r="C66" s="253"/>
      <c r="D66" s="101" t="s">
        <v>863</v>
      </c>
      <c r="E66" s="101" t="s">
        <v>1269</v>
      </c>
      <c r="F66" s="101">
        <v>210</v>
      </c>
      <c r="G66" s="101" t="s">
        <v>1506</v>
      </c>
      <c r="H66" s="101" t="s">
        <v>1507</v>
      </c>
      <c r="I66" s="102" t="s">
        <v>1508</v>
      </c>
      <c r="J66" s="101" t="s">
        <v>1509</v>
      </c>
    </row>
    <row r="67" spans="2:10" ht="18" customHeight="1" thickBot="1" x14ac:dyDescent="0.5">
      <c r="B67" s="253"/>
      <c r="C67" s="253"/>
      <c r="D67" s="100" t="s">
        <v>955</v>
      </c>
      <c r="E67" s="106" t="s">
        <v>1269</v>
      </c>
      <c r="F67" s="106">
        <v>280</v>
      </c>
      <c r="G67" s="106" t="s">
        <v>1510</v>
      </c>
      <c r="H67" s="106" t="s">
        <v>1511</v>
      </c>
      <c r="I67" s="107" t="s">
        <v>1512</v>
      </c>
      <c r="J67" s="106" t="s">
        <v>1513</v>
      </c>
    </row>
    <row r="68" spans="2:10" ht="18" customHeight="1" thickBot="1" x14ac:dyDescent="0.5">
      <c r="B68" s="253"/>
      <c r="C68" s="253"/>
      <c r="D68" s="104" t="s">
        <v>1199</v>
      </c>
      <c r="E68" s="104" t="s">
        <v>1295</v>
      </c>
      <c r="F68" s="104">
        <v>80</v>
      </c>
      <c r="G68" s="104" t="s">
        <v>1514</v>
      </c>
      <c r="H68" s="104" t="s">
        <v>1515</v>
      </c>
      <c r="I68" s="105" t="s">
        <v>1516</v>
      </c>
      <c r="J68" s="104" t="s">
        <v>1351</v>
      </c>
    </row>
    <row r="69" spans="2:10" ht="18" customHeight="1" thickBot="1" x14ac:dyDescent="0.5">
      <c r="B69" s="253"/>
      <c r="C69" s="253"/>
      <c r="D69" s="104" t="s">
        <v>1241</v>
      </c>
      <c r="E69" s="104" t="s">
        <v>1240</v>
      </c>
      <c r="F69" s="104">
        <v>18.3</v>
      </c>
      <c r="G69" s="104" t="s">
        <v>1517</v>
      </c>
      <c r="H69" s="104" t="s">
        <v>1518</v>
      </c>
      <c r="I69" s="105" t="s">
        <v>1519</v>
      </c>
      <c r="J69" s="104" t="s">
        <v>1509</v>
      </c>
    </row>
    <row r="70" spans="2:10" ht="18" customHeight="1" thickBot="1" x14ac:dyDescent="0.5">
      <c r="B70" s="253"/>
      <c r="C70" s="254"/>
      <c r="D70" s="104" t="s">
        <v>1229</v>
      </c>
      <c r="E70" s="104" t="s">
        <v>1240</v>
      </c>
      <c r="F70" s="104">
        <v>67</v>
      </c>
      <c r="G70" s="104" t="s">
        <v>1520</v>
      </c>
      <c r="H70" s="104" t="s">
        <v>1521</v>
      </c>
      <c r="I70" s="105" t="s">
        <v>1522</v>
      </c>
      <c r="J70" s="104" t="s">
        <v>1523</v>
      </c>
    </row>
    <row r="71" spans="2:10" ht="18" customHeight="1" thickBot="1" x14ac:dyDescent="0.5">
      <c r="B71" s="254"/>
      <c r="C71" s="103" t="s">
        <v>1352</v>
      </c>
      <c r="D71" s="104" t="s">
        <v>1197</v>
      </c>
      <c r="E71" s="104" t="s">
        <v>1240</v>
      </c>
      <c r="F71" s="104">
        <v>53</v>
      </c>
      <c r="G71" s="104" t="s">
        <v>1524</v>
      </c>
      <c r="H71" s="104" t="s">
        <v>1525</v>
      </c>
      <c r="I71" s="105" t="s">
        <v>1526</v>
      </c>
      <c r="J71" s="104" t="s">
        <v>1527</v>
      </c>
    </row>
  </sheetData>
  <mergeCells count="15">
    <mergeCell ref="B39:B50"/>
    <mergeCell ref="B62:B71"/>
    <mergeCell ref="B26:B38"/>
    <mergeCell ref="B51:B61"/>
    <mergeCell ref="C3:C9"/>
    <mergeCell ref="C48:C50"/>
    <mergeCell ref="C51:C61"/>
    <mergeCell ref="B13:B25"/>
    <mergeCell ref="B3:B12"/>
    <mergeCell ref="C28:C38"/>
    <mergeCell ref="C10:C12"/>
    <mergeCell ref="C39:C47"/>
    <mergeCell ref="C26:C27"/>
    <mergeCell ref="C62:C70"/>
    <mergeCell ref="C13:C25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2:G72"/>
  <sheetViews>
    <sheetView workbookViewId="0">
      <selection activeCell="B26" sqref="B26:B38"/>
    </sheetView>
  </sheetViews>
  <sheetFormatPr defaultRowHeight="17" x14ac:dyDescent="0.45"/>
  <cols>
    <col min="1" max="1" width="3.33203125" style="137" customWidth="1"/>
    <col min="2" max="2" width="6.83203125" style="137" bestFit="1" customWidth="1"/>
    <col min="3" max="3" width="5" style="137" bestFit="1" customWidth="1"/>
    <col min="4" max="4" width="20.4140625" style="137" bestFit="1" customWidth="1"/>
    <col min="5" max="5" width="12.4140625" style="137" bestFit="1" customWidth="1"/>
    <col min="6" max="7" width="10.9140625" style="137" bestFit="1" customWidth="1"/>
  </cols>
  <sheetData>
    <row r="2" spans="2:7" x14ac:dyDescent="0.45">
      <c r="B2" s="114" t="s">
        <v>1528</v>
      </c>
      <c r="C2" s="114" t="s">
        <v>1529</v>
      </c>
      <c r="D2" s="114" t="s">
        <v>384</v>
      </c>
      <c r="E2" s="114" t="s">
        <v>303</v>
      </c>
      <c r="F2" s="119" t="s">
        <v>1</v>
      </c>
      <c r="G2" s="114" t="s">
        <v>1530</v>
      </c>
    </row>
    <row r="3" spans="2:7" x14ac:dyDescent="0.45">
      <c r="B3" s="114" t="s">
        <v>1205</v>
      </c>
      <c r="C3" s="114" t="s">
        <v>1403</v>
      </c>
      <c r="D3" s="118" t="s">
        <v>1073</v>
      </c>
      <c r="E3" s="114" t="s">
        <v>1531</v>
      </c>
      <c r="F3" s="119">
        <v>46387</v>
      </c>
      <c r="G3" s="119">
        <v>46387</v>
      </c>
    </row>
    <row r="4" spans="2:7" hidden="1" x14ac:dyDescent="0.45">
      <c r="B4" s="114" t="s">
        <v>1205</v>
      </c>
      <c r="C4" s="115" t="s">
        <v>1263</v>
      </c>
      <c r="D4" s="115" t="s">
        <v>789</v>
      </c>
      <c r="E4" s="115" t="s">
        <v>1532</v>
      </c>
      <c r="F4" s="120"/>
      <c r="G4" s="115"/>
    </row>
    <row r="5" spans="2:7" x14ac:dyDescent="0.45">
      <c r="B5" s="114" t="s">
        <v>1200</v>
      </c>
      <c r="C5" s="114" t="s">
        <v>1449</v>
      </c>
      <c r="D5" s="118" t="s">
        <v>1202</v>
      </c>
      <c r="E5" s="114" t="s">
        <v>1240</v>
      </c>
      <c r="F5" s="119">
        <v>46234</v>
      </c>
      <c r="G5" s="119">
        <v>46234</v>
      </c>
    </row>
    <row r="6" spans="2:7" x14ac:dyDescent="0.45">
      <c r="B6" s="114" t="s">
        <v>1196</v>
      </c>
      <c r="C6" s="114" t="s">
        <v>1294</v>
      </c>
      <c r="D6" s="118" t="s">
        <v>1229</v>
      </c>
      <c r="E6" s="114" t="s">
        <v>1240</v>
      </c>
      <c r="F6" s="119">
        <v>46418</v>
      </c>
      <c r="G6" s="119">
        <v>46418</v>
      </c>
    </row>
    <row r="7" spans="2:7" x14ac:dyDescent="0.45">
      <c r="B7" s="114" t="s">
        <v>1200</v>
      </c>
      <c r="C7" s="114" t="s">
        <v>1449</v>
      </c>
      <c r="D7" s="118" t="s">
        <v>1129</v>
      </c>
      <c r="E7" s="114" t="s">
        <v>6</v>
      </c>
      <c r="F7" s="119">
        <v>46203</v>
      </c>
      <c r="G7" s="119">
        <v>46203</v>
      </c>
    </row>
    <row r="8" spans="2:7" x14ac:dyDescent="0.45">
      <c r="B8" s="114" t="s">
        <v>1306</v>
      </c>
      <c r="C8" s="114" t="s">
        <v>1294</v>
      </c>
      <c r="D8" s="118" t="s">
        <v>1135</v>
      </c>
      <c r="E8" s="114" t="s">
        <v>1240</v>
      </c>
      <c r="F8" s="119">
        <v>46418</v>
      </c>
      <c r="G8" s="119">
        <v>46418</v>
      </c>
    </row>
    <row r="9" spans="2:7" x14ac:dyDescent="0.45">
      <c r="B9" s="114" t="s">
        <v>1184</v>
      </c>
      <c r="C9" s="114" t="s">
        <v>1352</v>
      </c>
      <c r="D9" s="118" t="s">
        <v>1187</v>
      </c>
      <c r="E9" s="114" t="s">
        <v>1240</v>
      </c>
      <c r="F9" s="119">
        <v>46418</v>
      </c>
      <c r="G9" s="119">
        <v>46418</v>
      </c>
    </row>
    <row r="10" spans="2:7" x14ac:dyDescent="0.45">
      <c r="B10" s="114" t="s">
        <v>1306</v>
      </c>
      <c r="C10" s="114" t="s">
        <v>1294</v>
      </c>
      <c r="D10" s="118" t="s">
        <v>1231</v>
      </c>
      <c r="E10" s="114" t="s">
        <v>1240</v>
      </c>
      <c r="F10" s="119">
        <v>46234</v>
      </c>
      <c r="G10" s="119">
        <v>46234</v>
      </c>
    </row>
    <row r="11" spans="2:7" x14ac:dyDescent="0.45">
      <c r="B11" s="114" t="s">
        <v>1306</v>
      </c>
      <c r="C11" s="114" t="s">
        <v>1294</v>
      </c>
      <c r="D11" s="118" t="s">
        <v>1204</v>
      </c>
      <c r="E11" s="114" t="s">
        <v>1240</v>
      </c>
      <c r="F11" s="119">
        <v>46142</v>
      </c>
      <c r="G11" s="119">
        <v>46142</v>
      </c>
    </row>
    <row r="12" spans="2:7" x14ac:dyDescent="0.45">
      <c r="B12" s="114" t="s">
        <v>1196</v>
      </c>
      <c r="C12" s="114" t="s">
        <v>1352</v>
      </c>
      <c r="D12" s="118" t="s">
        <v>1197</v>
      </c>
      <c r="E12" s="114" t="s">
        <v>1240</v>
      </c>
      <c r="F12" s="119">
        <v>46144</v>
      </c>
      <c r="G12" s="119">
        <v>46144</v>
      </c>
    </row>
    <row r="13" spans="2:7" hidden="1" x14ac:dyDescent="0.45">
      <c r="B13" s="114" t="s">
        <v>1184</v>
      </c>
      <c r="C13" s="115" t="s">
        <v>1360</v>
      </c>
      <c r="D13" s="115" t="s">
        <v>1080</v>
      </c>
      <c r="E13" s="115" t="s">
        <v>1531</v>
      </c>
      <c r="F13" s="120"/>
      <c r="G13" s="115"/>
    </row>
    <row r="14" spans="2:7" x14ac:dyDescent="0.45">
      <c r="B14" s="114" t="s">
        <v>1196</v>
      </c>
      <c r="C14" s="114" t="s">
        <v>1294</v>
      </c>
      <c r="D14" s="118" t="s">
        <v>1238</v>
      </c>
      <c r="E14" s="114" t="s">
        <v>1240</v>
      </c>
      <c r="F14" s="119">
        <v>46173</v>
      </c>
      <c r="G14" s="119">
        <v>46173</v>
      </c>
    </row>
    <row r="15" spans="2:7" x14ac:dyDescent="0.45">
      <c r="B15" s="114" t="s">
        <v>1184</v>
      </c>
      <c r="C15" s="114" t="s">
        <v>1352</v>
      </c>
      <c r="D15" s="118" t="s">
        <v>1142</v>
      </c>
      <c r="E15" s="114" t="s">
        <v>1240</v>
      </c>
      <c r="F15" s="119">
        <v>46418</v>
      </c>
      <c r="G15" s="119">
        <v>46418</v>
      </c>
    </row>
    <row r="16" spans="2:7" x14ac:dyDescent="0.45">
      <c r="B16" s="114" t="s">
        <v>1306</v>
      </c>
      <c r="C16" s="114" t="s">
        <v>1294</v>
      </c>
      <c r="D16" s="118" t="s">
        <v>1145</v>
      </c>
      <c r="E16" s="114" t="s">
        <v>6</v>
      </c>
      <c r="F16" s="119">
        <v>46418</v>
      </c>
      <c r="G16" s="119">
        <v>46418</v>
      </c>
    </row>
    <row r="17" spans="2:7" x14ac:dyDescent="0.45">
      <c r="B17" s="114" t="s">
        <v>1196</v>
      </c>
      <c r="C17" s="114" t="s">
        <v>1294</v>
      </c>
      <c r="D17" s="118" t="s">
        <v>863</v>
      </c>
      <c r="E17" s="116" t="s">
        <v>1532</v>
      </c>
      <c r="F17" s="121">
        <v>46387</v>
      </c>
      <c r="G17" s="121">
        <v>46387</v>
      </c>
    </row>
    <row r="18" spans="2:7" x14ac:dyDescent="0.45">
      <c r="B18" s="114" t="s">
        <v>1196</v>
      </c>
      <c r="C18" s="114" t="s">
        <v>1294</v>
      </c>
      <c r="D18" s="118" t="s">
        <v>1251</v>
      </c>
      <c r="E18" s="114" t="s">
        <v>6</v>
      </c>
      <c r="F18" s="119">
        <v>46265</v>
      </c>
      <c r="G18" s="119">
        <v>46265</v>
      </c>
    </row>
    <row r="19" spans="2:7" x14ac:dyDescent="0.45">
      <c r="B19" s="114" t="s">
        <v>1306</v>
      </c>
      <c r="C19" s="114" t="s">
        <v>1294</v>
      </c>
      <c r="D19" s="118" t="s">
        <v>1162</v>
      </c>
      <c r="E19" s="114" t="s">
        <v>6</v>
      </c>
      <c r="F19" s="119">
        <v>46412</v>
      </c>
      <c r="G19" s="119">
        <v>46412</v>
      </c>
    </row>
    <row r="20" spans="2:7" hidden="1" x14ac:dyDescent="0.45">
      <c r="B20" s="114" t="s">
        <v>1205</v>
      </c>
      <c r="C20" s="115" t="s">
        <v>1403</v>
      </c>
      <c r="D20" s="115" t="s">
        <v>1423</v>
      </c>
      <c r="E20" s="115" t="s">
        <v>1240</v>
      </c>
      <c r="F20" s="120"/>
      <c r="G20" s="115"/>
    </row>
    <row r="21" spans="2:7" x14ac:dyDescent="0.45">
      <c r="B21" s="114" t="s">
        <v>1184</v>
      </c>
      <c r="C21" s="114" t="s">
        <v>1360</v>
      </c>
      <c r="D21" s="118" t="s">
        <v>1193</v>
      </c>
      <c r="E21" s="114" t="s">
        <v>1240</v>
      </c>
      <c r="F21" s="119">
        <v>46234</v>
      </c>
      <c r="G21" s="119">
        <v>46234</v>
      </c>
    </row>
    <row r="22" spans="2:7" x14ac:dyDescent="0.45">
      <c r="B22" s="114" t="s">
        <v>1262</v>
      </c>
      <c r="C22" s="114" t="s">
        <v>1294</v>
      </c>
      <c r="D22" s="118" t="s">
        <v>1172</v>
      </c>
      <c r="E22" s="114" t="s">
        <v>6</v>
      </c>
      <c r="F22" s="119">
        <v>46152</v>
      </c>
      <c r="G22" s="119">
        <v>46152</v>
      </c>
    </row>
    <row r="23" spans="2:7" x14ac:dyDescent="0.45">
      <c r="B23" s="114" t="s">
        <v>1196</v>
      </c>
      <c r="C23" s="114" t="s">
        <v>1294</v>
      </c>
      <c r="D23" s="118" t="s">
        <v>1241</v>
      </c>
      <c r="E23" s="114" t="s">
        <v>1240</v>
      </c>
      <c r="F23" s="119">
        <v>46135</v>
      </c>
      <c r="G23" s="119">
        <v>46135</v>
      </c>
    </row>
    <row r="24" spans="2:7" x14ac:dyDescent="0.45">
      <c r="B24" s="114" t="s">
        <v>1184</v>
      </c>
      <c r="C24" s="114" t="s">
        <v>1360</v>
      </c>
      <c r="D24" s="114" t="s">
        <v>1226</v>
      </c>
      <c r="E24" s="114" t="s">
        <v>1240</v>
      </c>
      <c r="F24" s="119">
        <v>46477</v>
      </c>
      <c r="G24" s="119">
        <v>46996</v>
      </c>
    </row>
    <row r="25" spans="2:7" hidden="1" x14ac:dyDescent="0.45">
      <c r="B25" s="114" t="s">
        <v>1306</v>
      </c>
      <c r="C25" s="115" t="s">
        <v>1294</v>
      </c>
      <c r="D25" s="115" t="s">
        <v>1328</v>
      </c>
      <c r="E25" s="115" t="s">
        <v>1240</v>
      </c>
      <c r="F25" s="120"/>
      <c r="G25" s="115"/>
    </row>
    <row r="26" spans="2:7" x14ac:dyDescent="0.45">
      <c r="B26" s="114" t="s">
        <v>1200</v>
      </c>
      <c r="C26" s="114" t="s">
        <v>1449</v>
      </c>
      <c r="D26" s="114" t="s">
        <v>1201</v>
      </c>
      <c r="E26" s="114" t="s">
        <v>1532</v>
      </c>
      <c r="F26" s="119">
        <v>46477</v>
      </c>
      <c r="G26" s="114"/>
    </row>
    <row r="27" spans="2:7" x14ac:dyDescent="0.45">
      <c r="B27" s="114" t="s">
        <v>1262</v>
      </c>
      <c r="C27" s="114" t="s">
        <v>1263</v>
      </c>
      <c r="D27" s="114" t="s">
        <v>808</v>
      </c>
      <c r="E27" s="114" t="s">
        <v>1532</v>
      </c>
      <c r="F27" s="119">
        <v>46477</v>
      </c>
      <c r="G27" s="114"/>
    </row>
    <row r="28" spans="2:7" x14ac:dyDescent="0.45">
      <c r="B28" s="114" t="s">
        <v>1262</v>
      </c>
      <c r="C28" s="114" t="s">
        <v>1263</v>
      </c>
      <c r="D28" s="114" t="s">
        <v>821</v>
      </c>
      <c r="E28" s="114" t="s">
        <v>1532</v>
      </c>
      <c r="F28" s="119">
        <v>46477</v>
      </c>
      <c r="G28" s="114"/>
    </row>
    <row r="29" spans="2:7" x14ac:dyDescent="0.45">
      <c r="B29" s="114" t="s">
        <v>1306</v>
      </c>
      <c r="C29" s="114" t="s">
        <v>1294</v>
      </c>
      <c r="D29" s="114" t="s">
        <v>1115</v>
      </c>
      <c r="E29" s="114" t="s">
        <v>6</v>
      </c>
      <c r="F29" s="119">
        <v>46477</v>
      </c>
      <c r="G29" s="119">
        <v>46506</v>
      </c>
    </row>
    <row r="30" spans="2:7" x14ac:dyDescent="0.45">
      <c r="B30" s="114" t="s">
        <v>1196</v>
      </c>
      <c r="C30" s="114" t="s">
        <v>1294</v>
      </c>
      <c r="D30" s="114" t="s">
        <v>827</v>
      </c>
      <c r="E30" s="114" t="s">
        <v>1532</v>
      </c>
      <c r="F30" s="119">
        <v>46477</v>
      </c>
      <c r="G30" s="114"/>
    </row>
    <row r="31" spans="2:7" x14ac:dyDescent="0.45">
      <c r="B31" s="114" t="s">
        <v>1200</v>
      </c>
      <c r="C31" s="114" t="s">
        <v>1449</v>
      </c>
      <c r="D31" s="114" t="s">
        <v>833</v>
      </c>
      <c r="E31" s="114" t="s">
        <v>1532</v>
      </c>
      <c r="F31" s="119">
        <v>46477</v>
      </c>
      <c r="G31" s="114"/>
    </row>
    <row r="32" spans="2:7" x14ac:dyDescent="0.45">
      <c r="B32" s="114" t="s">
        <v>1262</v>
      </c>
      <c r="C32" s="114" t="s">
        <v>1263</v>
      </c>
      <c r="D32" s="114" t="s">
        <v>839</v>
      </c>
      <c r="E32" s="114" t="s">
        <v>1532</v>
      </c>
      <c r="F32" s="119">
        <v>46477</v>
      </c>
      <c r="G32" s="114"/>
    </row>
    <row r="33" spans="2:7" x14ac:dyDescent="0.45">
      <c r="B33" s="114" t="s">
        <v>1205</v>
      </c>
      <c r="C33" s="114" t="s">
        <v>1403</v>
      </c>
      <c r="D33" s="114" t="s">
        <v>845</v>
      </c>
      <c r="E33" s="114" t="s">
        <v>1532</v>
      </c>
      <c r="F33" s="119">
        <v>46477</v>
      </c>
      <c r="G33" s="114"/>
    </row>
    <row r="34" spans="2:7" x14ac:dyDescent="0.45">
      <c r="B34" s="114" t="s">
        <v>1306</v>
      </c>
      <c r="C34" s="114" t="s">
        <v>1294</v>
      </c>
      <c r="D34" s="114" t="s">
        <v>1121</v>
      </c>
      <c r="E34" s="114" t="s">
        <v>6</v>
      </c>
      <c r="F34" s="119">
        <v>46477</v>
      </c>
      <c r="G34" s="119">
        <v>46591</v>
      </c>
    </row>
    <row r="35" spans="2:7" x14ac:dyDescent="0.45">
      <c r="B35" s="114" t="s">
        <v>1200</v>
      </c>
      <c r="C35" s="114" t="s">
        <v>1449</v>
      </c>
      <c r="D35" s="114" t="s">
        <v>851</v>
      </c>
      <c r="E35" s="114" t="s">
        <v>1532</v>
      </c>
      <c r="F35" s="119">
        <v>46477</v>
      </c>
      <c r="G35" s="114"/>
    </row>
    <row r="36" spans="2:7" x14ac:dyDescent="0.45">
      <c r="B36" s="114" t="s">
        <v>1205</v>
      </c>
      <c r="C36" s="114" t="s">
        <v>1403</v>
      </c>
      <c r="D36" s="114" t="s">
        <v>857</v>
      </c>
      <c r="E36" s="114" t="s">
        <v>1532</v>
      </c>
      <c r="F36" s="119">
        <v>46477</v>
      </c>
      <c r="G36" s="114"/>
    </row>
    <row r="37" spans="2:7" x14ac:dyDescent="0.45">
      <c r="B37" s="114" t="s">
        <v>1306</v>
      </c>
      <c r="C37" s="114" t="s">
        <v>1294</v>
      </c>
      <c r="D37" s="114" t="s">
        <v>871</v>
      </c>
      <c r="E37" s="114" t="s">
        <v>1532</v>
      </c>
      <c r="F37" s="119">
        <v>46477</v>
      </c>
      <c r="G37" s="114"/>
    </row>
    <row r="38" spans="2:7" x14ac:dyDescent="0.45">
      <c r="B38" s="114" t="s">
        <v>1205</v>
      </c>
      <c r="C38" s="114" t="s">
        <v>1403</v>
      </c>
      <c r="D38" s="114" t="s">
        <v>1213</v>
      </c>
      <c r="E38" s="114" t="s">
        <v>1532</v>
      </c>
      <c r="F38" s="119">
        <v>46477</v>
      </c>
      <c r="G38" s="114"/>
    </row>
    <row r="39" spans="2:7" x14ac:dyDescent="0.45">
      <c r="B39" s="114" t="s">
        <v>1184</v>
      </c>
      <c r="C39" s="114" t="s">
        <v>1360</v>
      </c>
      <c r="D39" s="114" t="s">
        <v>883</v>
      </c>
      <c r="E39" s="114" t="s">
        <v>1532</v>
      </c>
      <c r="F39" s="119">
        <v>46477</v>
      </c>
      <c r="G39" s="114"/>
    </row>
    <row r="40" spans="2:7" x14ac:dyDescent="0.45">
      <c r="B40" s="114" t="s">
        <v>1184</v>
      </c>
      <c r="C40" s="114" t="s">
        <v>1360</v>
      </c>
      <c r="D40" s="114" t="s">
        <v>1214</v>
      </c>
      <c r="E40" s="114" t="s">
        <v>1532</v>
      </c>
      <c r="F40" s="119">
        <v>46477</v>
      </c>
      <c r="G40" s="114"/>
    </row>
    <row r="41" spans="2:7" x14ac:dyDescent="0.45">
      <c r="B41" s="114" t="s">
        <v>1184</v>
      </c>
      <c r="C41" s="114" t="s">
        <v>1360</v>
      </c>
      <c r="D41" s="114" t="s">
        <v>895</v>
      </c>
      <c r="E41" s="114" t="s">
        <v>1532</v>
      </c>
      <c r="F41" s="119">
        <v>46477</v>
      </c>
      <c r="G41" s="114"/>
    </row>
    <row r="42" spans="2:7" x14ac:dyDescent="0.45">
      <c r="B42" s="114" t="s">
        <v>1262</v>
      </c>
      <c r="C42" s="114" t="s">
        <v>1263</v>
      </c>
      <c r="D42" s="114" t="s">
        <v>901</v>
      </c>
      <c r="E42" s="114" t="s">
        <v>1532</v>
      </c>
      <c r="F42" s="119">
        <v>46477</v>
      </c>
      <c r="G42" s="114"/>
    </row>
    <row r="43" spans="2:7" x14ac:dyDescent="0.45">
      <c r="B43" s="114" t="s">
        <v>1205</v>
      </c>
      <c r="C43" s="114" t="s">
        <v>1403</v>
      </c>
      <c r="D43" s="114" t="s">
        <v>907</v>
      </c>
      <c r="E43" s="114" t="s">
        <v>1532</v>
      </c>
      <c r="F43" s="119">
        <v>46477</v>
      </c>
      <c r="G43" s="114"/>
    </row>
    <row r="44" spans="2:7" x14ac:dyDescent="0.45">
      <c r="B44" s="114" t="s">
        <v>1262</v>
      </c>
      <c r="C44" s="114" t="s">
        <v>1294</v>
      </c>
      <c r="D44" s="114" t="s">
        <v>1152</v>
      </c>
      <c r="E44" s="114" t="s">
        <v>6</v>
      </c>
      <c r="F44" s="119">
        <v>46477</v>
      </c>
      <c r="G44" s="119">
        <v>46844</v>
      </c>
    </row>
    <row r="45" spans="2:7" x14ac:dyDescent="0.45">
      <c r="B45" s="114" t="s">
        <v>1306</v>
      </c>
      <c r="C45" s="114" t="s">
        <v>1294</v>
      </c>
      <c r="D45" s="114" t="s">
        <v>1156</v>
      </c>
      <c r="E45" s="114" t="s">
        <v>6</v>
      </c>
      <c r="F45" s="119">
        <v>46477</v>
      </c>
      <c r="G45" s="119">
        <v>47143</v>
      </c>
    </row>
    <row r="46" spans="2:7" x14ac:dyDescent="0.45">
      <c r="B46" s="114" t="s">
        <v>1196</v>
      </c>
      <c r="C46" s="114" t="s">
        <v>1294</v>
      </c>
      <c r="D46" s="114" t="s">
        <v>1199</v>
      </c>
      <c r="E46" s="114" t="s">
        <v>6</v>
      </c>
      <c r="F46" s="119">
        <v>46477</v>
      </c>
      <c r="G46" s="119">
        <v>46904</v>
      </c>
    </row>
    <row r="47" spans="2:7" x14ac:dyDescent="0.45">
      <c r="B47" s="114" t="s">
        <v>1262</v>
      </c>
      <c r="C47" s="114" t="s">
        <v>1263</v>
      </c>
      <c r="D47" s="114" t="s">
        <v>919</v>
      </c>
      <c r="E47" s="114" t="s">
        <v>1532</v>
      </c>
      <c r="F47" s="119">
        <v>46477</v>
      </c>
      <c r="G47" s="114"/>
    </row>
    <row r="48" spans="2:7" x14ac:dyDescent="0.45">
      <c r="B48" s="114" t="s">
        <v>1306</v>
      </c>
      <c r="C48" s="114" t="s">
        <v>1294</v>
      </c>
      <c r="D48" s="117" t="s">
        <v>925</v>
      </c>
      <c r="E48" s="117" t="s">
        <v>1532</v>
      </c>
      <c r="F48" s="122">
        <v>46281</v>
      </c>
      <c r="G48" s="117" t="s">
        <v>1533</v>
      </c>
    </row>
    <row r="49" spans="2:7" x14ac:dyDescent="0.45">
      <c r="B49" s="114" t="s">
        <v>1306</v>
      </c>
      <c r="C49" s="114" t="s">
        <v>1294</v>
      </c>
      <c r="D49" s="114" t="s">
        <v>1086</v>
      </c>
      <c r="E49" s="114" t="s">
        <v>1531</v>
      </c>
      <c r="F49" s="119">
        <v>46477</v>
      </c>
      <c r="G49" s="119">
        <v>46477</v>
      </c>
    </row>
    <row r="50" spans="2:7" x14ac:dyDescent="0.45">
      <c r="B50" s="114" t="s">
        <v>1200</v>
      </c>
      <c r="C50" s="114" t="s">
        <v>1449</v>
      </c>
      <c r="D50" s="114" t="s">
        <v>931</v>
      </c>
      <c r="E50" s="114" t="s">
        <v>1532</v>
      </c>
      <c r="F50" s="119">
        <v>46477</v>
      </c>
      <c r="G50" s="114"/>
    </row>
    <row r="51" spans="2:7" x14ac:dyDescent="0.45">
      <c r="B51" s="114" t="s">
        <v>1200</v>
      </c>
      <c r="C51" s="114" t="s">
        <v>1449</v>
      </c>
      <c r="D51" s="116" t="s">
        <v>937</v>
      </c>
      <c r="E51" s="116" t="s">
        <v>1532</v>
      </c>
      <c r="F51" s="121">
        <v>46477</v>
      </c>
      <c r="G51" s="121">
        <v>46477</v>
      </c>
    </row>
    <row r="52" spans="2:7" x14ac:dyDescent="0.45">
      <c r="B52" s="114" t="s">
        <v>1200</v>
      </c>
      <c r="C52" s="114" t="s">
        <v>1449</v>
      </c>
      <c r="D52" s="116" t="s">
        <v>1219</v>
      </c>
      <c r="E52" s="116" t="s">
        <v>1532</v>
      </c>
      <c r="F52" s="121">
        <v>46477</v>
      </c>
      <c r="G52" s="121">
        <v>47938</v>
      </c>
    </row>
    <row r="53" spans="2:7" x14ac:dyDescent="0.45">
      <c r="B53" s="114" t="s">
        <v>1205</v>
      </c>
      <c r="C53" s="114" t="s">
        <v>1263</v>
      </c>
      <c r="D53" s="114" t="s">
        <v>943</v>
      </c>
      <c r="E53" s="114" t="s">
        <v>1532</v>
      </c>
      <c r="F53" s="119">
        <v>46477</v>
      </c>
      <c r="G53" s="114"/>
    </row>
    <row r="54" spans="2:7" x14ac:dyDescent="0.45">
      <c r="B54" s="114" t="s">
        <v>1196</v>
      </c>
      <c r="C54" s="114" t="s">
        <v>1294</v>
      </c>
      <c r="D54" s="114" t="s">
        <v>955</v>
      </c>
      <c r="E54" s="114" t="s">
        <v>1532</v>
      </c>
      <c r="F54" s="119">
        <v>46477</v>
      </c>
      <c r="G54" s="114"/>
    </row>
    <row r="55" spans="2:7" x14ac:dyDescent="0.45">
      <c r="B55" s="114" t="s">
        <v>1196</v>
      </c>
      <c r="C55" s="114" t="s">
        <v>1294</v>
      </c>
      <c r="D55" s="114" t="s">
        <v>1098</v>
      </c>
      <c r="E55" s="114" t="s">
        <v>1531</v>
      </c>
      <c r="F55" s="119">
        <v>46477</v>
      </c>
      <c r="G55" s="119">
        <v>46691</v>
      </c>
    </row>
    <row r="56" spans="2:7" x14ac:dyDescent="0.45">
      <c r="B56" s="114" t="s">
        <v>1196</v>
      </c>
      <c r="C56" s="114" t="s">
        <v>1294</v>
      </c>
      <c r="D56" s="114" t="s">
        <v>961</v>
      </c>
      <c r="E56" s="114" t="s">
        <v>1532</v>
      </c>
      <c r="F56" s="119">
        <v>46477</v>
      </c>
      <c r="G56" s="114"/>
    </row>
    <row r="57" spans="2:7" x14ac:dyDescent="0.45">
      <c r="B57" s="114" t="s">
        <v>1262</v>
      </c>
      <c r="C57" s="114" t="s">
        <v>1294</v>
      </c>
      <c r="D57" s="114" t="s">
        <v>967</v>
      </c>
      <c r="E57" s="114" t="s">
        <v>1532</v>
      </c>
      <c r="F57" s="119">
        <v>46477</v>
      </c>
      <c r="G57" s="114"/>
    </row>
    <row r="58" spans="2:7" x14ac:dyDescent="0.45">
      <c r="B58" s="114" t="s">
        <v>1205</v>
      </c>
      <c r="C58" s="114" t="s">
        <v>1403</v>
      </c>
      <c r="D58" s="114" t="s">
        <v>973</v>
      </c>
      <c r="E58" s="114" t="s">
        <v>1532</v>
      </c>
      <c r="F58" s="119">
        <v>46477</v>
      </c>
      <c r="G58" s="114"/>
    </row>
    <row r="59" spans="2:7" x14ac:dyDescent="0.45">
      <c r="B59" s="114" t="s">
        <v>1205</v>
      </c>
      <c r="C59" s="114" t="s">
        <v>1403</v>
      </c>
      <c r="D59" s="114" t="s">
        <v>1104</v>
      </c>
      <c r="E59" s="114" t="s">
        <v>1531</v>
      </c>
      <c r="F59" s="119">
        <v>46477</v>
      </c>
      <c r="G59" s="119">
        <v>46996</v>
      </c>
    </row>
    <row r="60" spans="2:7" x14ac:dyDescent="0.45">
      <c r="B60" s="114" t="s">
        <v>1205</v>
      </c>
      <c r="C60" s="114" t="s">
        <v>1403</v>
      </c>
      <c r="D60" s="114" t="s">
        <v>979</v>
      </c>
      <c r="E60" s="114" t="s">
        <v>1532</v>
      </c>
      <c r="F60" s="119">
        <v>46477</v>
      </c>
      <c r="G60" s="114"/>
    </row>
    <row r="61" spans="2:7" x14ac:dyDescent="0.45">
      <c r="B61" s="114" t="s">
        <v>1200</v>
      </c>
      <c r="C61" s="114" t="s">
        <v>1449</v>
      </c>
      <c r="D61" s="114" t="s">
        <v>985</v>
      </c>
      <c r="E61" s="114" t="s">
        <v>1532</v>
      </c>
      <c r="F61" s="119">
        <v>46477</v>
      </c>
      <c r="G61" s="114"/>
    </row>
    <row r="62" spans="2:7" hidden="1" x14ac:dyDescent="0.45">
      <c r="B62" s="114" t="s">
        <v>1184</v>
      </c>
      <c r="C62" s="115" t="s">
        <v>1360</v>
      </c>
      <c r="D62" s="115" t="s">
        <v>997</v>
      </c>
      <c r="E62" s="115" t="s">
        <v>1532</v>
      </c>
      <c r="F62" s="120"/>
      <c r="G62" s="115"/>
    </row>
    <row r="63" spans="2:7" x14ac:dyDescent="0.45">
      <c r="B63" s="114" t="s">
        <v>1200</v>
      </c>
      <c r="C63" s="114" t="s">
        <v>1449</v>
      </c>
      <c r="D63" s="114" t="s">
        <v>991</v>
      </c>
      <c r="E63" s="114" t="s">
        <v>1532</v>
      </c>
      <c r="F63" s="119">
        <v>46477</v>
      </c>
      <c r="G63" s="114"/>
    </row>
    <row r="64" spans="2:7" x14ac:dyDescent="0.45">
      <c r="B64" s="114" t="s">
        <v>1184</v>
      </c>
      <c r="C64" s="114" t="s">
        <v>1360</v>
      </c>
      <c r="D64" s="114" t="s">
        <v>1105</v>
      </c>
      <c r="E64" s="114" t="s">
        <v>1531</v>
      </c>
      <c r="F64" s="119">
        <v>46477</v>
      </c>
      <c r="G64" s="119">
        <v>46538</v>
      </c>
    </row>
    <row r="65" spans="2:7" x14ac:dyDescent="0.45">
      <c r="B65" s="114" t="s">
        <v>1184</v>
      </c>
      <c r="C65" s="114" t="s">
        <v>1360</v>
      </c>
      <c r="D65" s="114" t="s">
        <v>1003</v>
      </c>
      <c r="E65" s="114" t="s">
        <v>1532</v>
      </c>
      <c r="F65" s="119">
        <v>46477</v>
      </c>
      <c r="G65" s="114"/>
    </row>
    <row r="66" spans="2:7" x14ac:dyDescent="0.45">
      <c r="B66" s="114" t="s">
        <v>1184</v>
      </c>
      <c r="C66" s="114" t="s">
        <v>1360</v>
      </c>
      <c r="D66" s="114" t="s">
        <v>1009</v>
      </c>
      <c r="E66" s="114" t="s">
        <v>1532</v>
      </c>
      <c r="F66" s="119">
        <v>46477</v>
      </c>
      <c r="G66" s="114"/>
    </row>
    <row r="67" spans="2:7" x14ac:dyDescent="0.45">
      <c r="B67" s="114" t="s">
        <v>1184</v>
      </c>
      <c r="C67" s="114" t="s">
        <v>1360</v>
      </c>
      <c r="D67" s="114" t="s">
        <v>1015</v>
      </c>
      <c r="E67" s="114" t="s">
        <v>1532</v>
      </c>
      <c r="F67" s="119">
        <v>46477</v>
      </c>
      <c r="G67" s="114"/>
    </row>
    <row r="68" spans="2:7" x14ac:dyDescent="0.45">
      <c r="B68" s="114" t="s">
        <v>1205</v>
      </c>
      <c r="C68" s="114" t="s">
        <v>1263</v>
      </c>
      <c r="D68" s="114" t="s">
        <v>1021</v>
      </c>
      <c r="E68" s="114" t="s">
        <v>1532</v>
      </c>
      <c r="F68" s="119">
        <v>46477</v>
      </c>
      <c r="G68" s="114"/>
    </row>
    <row r="69" spans="2:7" hidden="1" x14ac:dyDescent="0.45">
      <c r="B69" s="114" t="s">
        <v>1262</v>
      </c>
      <c r="C69" s="115" t="s">
        <v>1263</v>
      </c>
      <c r="D69" s="115" t="s">
        <v>1041</v>
      </c>
      <c r="E69" s="115" t="s">
        <v>1532</v>
      </c>
      <c r="F69" s="120"/>
      <c r="G69" s="115"/>
    </row>
    <row r="70" spans="2:7" x14ac:dyDescent="0.45">
      <c r="B70" s="114" t="s">
        <v>1306</v>
      </c>
      <c r="C70" s="114" t="s">
        <v>1294</v>
      </c>
      <c r="D70" s="116" t="s">
        <v>1221</v>
      </c>
      <c r="E70" s="116" t="s">
        <v>1532</v>
      </c>
      <c r="F70" s="121">
        <v>46477</v>
      </c>
      <c r="G70" s="121">
        <v>47208</v>
      </c>
    </row>
    <row r="71" spans="2:7" x14ac:dyDescent="0.45">
      <c r="B71" s="114" t="s">
        <v>1262</v>
      </c>
      <c r="C71" s="114" t="s">
        <v>1263</v>
      </c>
      <c r="D71" s="114" t="s">
        <v>1047</v>
      </c>
      <c r="E71" s="114" t="s">
        <v>1532</v>
      </c>
      <c r="F71" s="119">
        <v>46477</v>
      </c>
      <c r="G71" s="114"/>
    </row>
    <row r="72" spans="2:7" x14ac:dyDescent="0.45">
      <c r="B72" s="114" t="s">
        <v>1200</v>
      </c>
      <c r="C72" s="114" t="s">
        <v>1449</v>
      </c>
      <c r="D72" s="114" t="s">
        <v>1053</v>
      </c>
      <c r="E72" s="114" t="s">
        <v>1532</v>
      </c>
      <c r="F72" s="119">
        <v>46477</v>
      </c>
      <c r="G72" s="114"/>
    </row>
  </sheetData>
  <autoFilter ref="B2:G72" xr:uid="{00000000-0009-0000-0000-00000E000000}">
    <filterColumn colId="1">
      <colorFilter dxfId="0"/>
    </filterColumn>
    <sortState ref="B3:G72">
      <sortCondition sortBy="cellColor" ref="D2:D72" dxfId="1"/>
    </sortState>
  </autoFilter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P82"/>
  <sheetViews>
    <sheetView zoomScaleNormal="100" workbookViewId="0">
      <pane xSplit="2" ySplit="2" topLeftCell="F4" activePane="bottomRight" state="frozen"/>
      <selection activeCell="B26" sqref="B26:B38"/>
      <selection pane="topRight" activeCell="B26" sqref="B26:B38"/>
      <selection pane="bottomLeft" activeCell="B26" sqref="B26:B38"/>
      <selection pane="bottomRight" activeCell="B26" sqref="B26:B38"/>
    </sheetView>
  </sheetViews>
  <sheetFormatPr defaultColWidth="8.83203125" defaultRowHeight="14.5" x14ac:dyDescent="0.45"/>
  <cols>
    <col min="1" max="1" width="1.5" style="125" customWidth="1"/>
    <col min="2" max="2" width="17.08203125" style="125" bestFit="1" customWidth="1"/>
    <col min="3" max="3" width="16.1640625" style="125" bestFit="1" customWidth="1"/>
    <col min="4" max="4" width="16.6640625" style="125" customWidth="1"/>
    <col min="5" max="5" width="7.1640625" style="125" customWidth="1"/>
    <col min="6" max="6" width="9.6640625" style="125" customWidth="1"/>
    <col min="7" max="7" width="19" style="125" customWidth="1"/>
    <col min="8" max="8" width="20" style="125" customWidth="1"/>
    <col min="9" max="9" width="12.9140625" style="125" customWidth="1"/>
    <col min="10" max="10" width="16.9140625" style="125" customWidth="1"/>
    <col min="11" max="11" width="50.33203125" style="125" customWidth="1"/>
    <col min="12" max="12" width="11.6640625" style="125" bestFit="1" customWidth="1"/>
    <col min="13" max="13" width="13.4140625" style="128" bestFit="1" customWidth="1"/>
    <col min="14" max="14" width="26" style="125" bestFit="1" customWidth="1"/>
    <col min="15" max="15" width="21" style="125" bestFit="1" customWidth="1"/>
    <col min="16" max="16" width="8.83203125" style="125" customWidth="1"/>
    <col min="17" max="16384" width="8.83203125" style="125"/>
  </cols>
  <sheetData>
    <row r="2" spans="2:16" x14ac:dyDescent="0.45">
      <c r="B2" s="124" t="s">
        <v>0</v>
      </c>
      <c r="C2" s="124" t="s">
        <v>781</v>
      </c>
      <c r="D2" s="124" t="s">
        <v>1534</v>
      </c>
      <c r="E2" s="124"/>
      <c r="F2" s="124"/>
      <c r="G2" s="124" t="s">
        <v>783</v>
      </c>
      <c r="H2" s="124" t="s">
        <v>784</v>
      </c>
      <c r="I2" s="124" t="s">
        <v>9</v>
      </c>
      <c r="J2" s="124" t="s">
        <v>785</v>
      </c>
      <c r="K2" s="124" t="s">
        <v>11</v>
      </c>
      <c r="L2" s="124" t="s">
        <v>786</v>
      </c>
      <c r="M2" s="123" t="s">
        <v>787</v>
      </c>
      <c r="N2" s="124" t="s">
        <v>1</v>
      </c>
      <c r="O2" s="124" t="s">
        <v>788</v>
      </c>
    </row>
    <row r="3" spans="2:16" x14ac:dyDescent="0.45">
      <c r="B3" s="75" t="s">
        <v>789</v>
      </c>
      <c r="C3" s="75" t="str">
        <f>VLOOKUP(B3,'2503기준유통망'!$B:$F,5,0)</f>
        <v>B/S-Shop</v>
      </c>
      <c r="D3" s="75" t="s">
        <v>791</v>
      </c>
      <c r="E3" s="75" t="s">
        <v>792</v>
      </c>
      <c r="F3" s="75" t="s">
        <v>793</v>
      </c>
      <c r="G3" s="75" t="str">
        <f t="shared" ref="G3:G34" si="0">E3&amp;" (\"&amp;F3&amp;")"</f>
        <v>이천만원 (\20,000,000원)</v>
      </c>
      <c r="H3" s="75" t="str">
        <f>VLOOKUP(B3,계약체결용!$B:$K,7,0)</f>
        <v>일룸강릉브랜드샵(주)</v>
      </c>
      <c r="I3" s="75" t="str">
        <f>VLOOKUP(B3,계약체결용!$B:$K,8,0)</f>
        <v>201-86-45638</v>
      </c>
      <c r="J3" s="75" t="str">
        <f>VLOOKUP(B3,계약체결용!$B:$K,9,0)</f>
        <v>최 종 섭</v>
      </c>
      <c r="K3" s="75" t="str">
        <f>VLOOKUP(B3,계약체결용!$B:$K,10,0)</f>
        <v>강원 강릉시 율곡로 3190</v>
      </c>
      <c r="L3" s="126" t="s">
        <v>1535</v>
      </c>
      <c r="M3" s="126" t="s">
        <v>1536</v>
      </c>
      <c r="N3" s="75" t="str">
        <f t="shared" ref="N3:N34" si="1">L3&amp;" ~ "&amp;M3</f>
        <v>2025년 4월 1일 ~ 2026년 3월 31일</v>
      </c>
      <c r="O3" s="75" t="s">
        <v>801</v>
      </c>
    </row>
    <row r="4" spans="2:16" x14ac:dyDescent="0.45">
      <c r="B4" s="75" t="s">
        <v>1201</v>
      </c>
      <c r="C4" s="75" t="str">
        <f>VLOOKUP(B4,'2503기준유통망'!$B:$F,5,0)</f>
        <v>B/S-Shop</v>
      </c>
      <c r="D4" s="75" t="s">
        <v>791</v>
      </c>
      <c r="E4" s="75" t="s">
        <v>792</v>
      </c>
      <c r="F4" s="75" t="s">
        <v>793</v>
      </c>
      <c r="G4" s="75" t="str">
        <f t="shared" si="0"/>
        <v>이천만원 (\20,000,000원)</v>
      </c>
      <c r="H4" s="77" t="s">
        <v>1537</v>
      </c>
      <c r="I4" s="77" t="s">
        <v>1538</v>
      </c>
      <c r="J4" s="77" t="s">
        <v>1132</v>
      </c>
      <c r="K4" s="77" t="s">
        <v>1539</v>
      </c>
      <c r="L4" s="126" t="s">
        <v>1535</v>
      </c>
      <c r="M4" s="126" t="s">
        <v>1536</v>
      </c>
      <c r="N4" s="75" t="str">
        <f t="shared" si="1"/>
        <v>2025년 4월 1일 ~ 2026년 3월 31일</v>
      </c>
      <c r="O4" s="77" t="s">
        <v>1134</v>
      </c>
      <c r="P4" s="82"/>
    </row>
    <row r="5" spans="2:16" x14ac:dyDescent="0.45">
      <c r="B5" s="75" t="s">
        <v>808</v>
      </c>
      <c r="C5" s="75" t="str">
        <f>VLOOKUP(B5,'2503기준유통망'!$B:$F,5,0)</f>
        <v>B/S-Shop</v>
      </c>
      <c r="D5" s="75" t="s">
        <v>791</v>
      </c>
      <c r="E5" s="75" t="s">
        <v>792</v>
      </c>
      <c r="F5" s="75" t="s">
        <v>793</v>
      </c>
      <c r="G5" s="75" t="str">
        <f t="shared" si="0"/>
        <v>이천만원 (\20,000,000원)</v>
      </c>
      <c r="H5" s="75" t="str">
        <f>VLOOKUP(B5,계약체결용!$B:$K,7,0)</f>
        <v>그린퍼니처</v>
      </c>
      <c r="I5" s="75" t="str">
        <f>VLOOKUP(B5,계약체결용!$B:$K,8,0)</f>
        <v>505-09-65796</v>
      </c>
      <c r="J5" s="75" t="str">
        <f>VLOOKUP(B5,계약체결용!$B:$K,9,0)</f>
        <v>신 도 철</v>
      </c>
      <c r="K5" s="75" t="str">
        <f>VLOOKUP(B5,계약체결용!$B:$K,10,0)</f>
        <v>경북 경주시 원화로468, b동</v>
      </c>
      <c r="L5" s="126" t="s">
        <v>1535</v>
      </c>
      <c r="M5" s="126" t="s">
        <v>1536</v>
      </c>
      <c r="N5" s="75" t="str">
        <f t="shared" si="1"/>
        <v>2025년 4월 1일 ~ 2026년 3월 31일</v>
      </c>
      <c r="O5" s="75" t="s">
        <v>813</v>
      </c>
    </row>
    <row r="6" spans="2:16" x14ac:dyDescent="0.45">
      <c r="B6" s="80" t="s">
        <v>814</v>
      </c>
      <c r="C6" s="75" t="str">
        <f>VLOOKUP(B6,'2503기준유통망'!$B:$F,5,0)</f>
        <v>B/S-Shop</v>
      </c>
      <c r="D6" s="75" t="s">
        <v>791</v>
      </c>
      <c r="E6" s="75" t="s">
        <v>792</v>
      </c>
      <c r="F6" s="75" t="s">
        <v>793</v>
      </c>
      <c r="G6" s="75" t="str">
        <f t="shared" si="0"/>
        <v>이천만원 (\20,000,000원)</v>
      </c>
      <c r="H6" s="75" t="str">
        <f>VLOOKUP(B6,계약체결용!$B:$K,7,0)</f>
        <v>일룸 구리남양주점</v>
      </c>
      <c r="I6" s="75" t="str">
        <f>VLOOKUP(B6,계약체결용!$B:$K,8,0)</f>
        <v>228-27-00532</v>
      </c>
      <c r="J6" s="75" t="str">
        <f>VLOOKUP(B6,계약체결용!$B:$K,9,0)</f>
        <v>박 상 근</v>
      </c>
      <c r="K6" s="75" t="str">
        <f>VLOOKUP(B6,계약체결용!$B:$K,10,0)</f>
        <v>경기 구리시 경춘로 286, 2,3,4층</v>
      </c>
      <c r="L6" s="126" t="s">
        <v>1535</v>
      </c>
      <c r="M6" s="78" t="s">
        <v>1540</v>
      </c>
      <c r="N6" s="75" t="str">
        <f t="shared" si="1"/>
        <v>2025년 4월 1일 ~ 2025년 5월 31일</v>
      </c>
      <c r="O6" s="75" t="s">
        <v>1541</v>
      </c>
    </row>
    <row r="7" spans="2:16" x14ac:dyDescent="0.45">
      <c r="B7" s="75" t="s">
        <v>821</v>
      </c>
      <c r="C7" s="75" t="str">
        <f>VLOOKUP(B7,'2503기준유통망'!$B:$F,5,0)</f>
        <v>B/S-Shop</v>
      </c>
      <c r="D7" s="75" t="s">
        <v>791</v>
      </c>
      <c r="E7" s="75" t="s">
        <v>792</v>
      </c>
      <c r="F7" s="75" t="s">
        <v>793</v>
      </c>
      <c r="G7" s="75" t="str">
        <f t="shared" si="0"/>
        <v>이천만원 (\20,000,000원)</v>
      </c>
      <c r="H7" s="75" t="str">
        <f>VLOOKUP(B7,계약체결용!$B:$K,7,0)</f>
        <v>일룸 가구 구미점</v>
      </c>
      <c r="I7" s="75" t="str">
        <f>VLOOKUP(B7,계약체결용!$B:$K,8,0)</f>
        <v>283-05-01540</v>
      </c>
      <c r="J7" s="75" t="str">
        <f>VLOOKUP(B7,계약체결용!$B:$K,9,0)</f>
        <v>김관우, 김동윤, 박정애</v>
      </c>
      <c r="K7" s="75" t="str">
        <f>VLOOKUP(B7,계약체결용!$B:$K,10,0)</f>
        <v>경북 구미시 산업로28길 4</v>
      </c>
      <c r="L7" s="126" t="s">
        <v>1535</v>
      </c>
      <c r="M7" s="126" t="s">
        <v>1536</v>
      </c>
      <c r="N7" s="75" t="str">
        <f t="shared" si="1"/>
        <v>2025년 4월 1일 ~ 2026년 3월 31일</v>
      </c>
      <c r="O7" s="75" t="s">
        <v>826</v>
      </c>
    </row>
    <row r="8" spans="2:16" x14ac:dyDescent="0.45">
      <c r="B8" s="75" t="s">
        <v>827</v>
      </c>
      <c r="C8" s="75" t="str">
        <f>VLOOKUP(B8,'2503기준유통망'!$B:$F,5,0)</f>
        <v>B/S-Shop</v>
      </c>
      <c r="D8" s="75" t="s">
        <v>791</v>
      </c>
      <c r="E8" s="75" t="s">
        <v>792</v>
      </c>
      <c r="F8" s="75" t="s">
        <v>793</v>
      </c>
      <c r="G8" s="75" t="str">
        <f t="shared" si="0"/>
        <v>이천만원 (\20,000,000원)</v>
      </c>
      <c r="H8" s="75" t="str">
        <f>VLOOKUP(B8,계약체결용!$B:$K,7,0)</f>
        <v>일룸김포점</v>
      </c>
      <c r="I8" s="75" t="str">
        <f>VLOOKUP(B8,계약체결용!$B:$K,8,0)</f>
        <v>137-17-39033</v>
      </c>
      <c r="J8" s="75" t="str">
        <f>VLOOKUP(B8,계약체결용!$B:$K,9,0)</f>
        <v>장 미 영</v>
      </c>
      <c r="K8" s="75" t="str">
        <f>VLOOKUP(B8,계약체결용!$B:$K,10,0)</f>
        <v>경기 김포시 풍무동 27-4 1,2층</v>
      </c>
      <c r="L8" s="126" t="s">
        <v>1535</v>
      </c>
      <c r="M8" s="126" t="s">
        <v>1536</v>
      </c>
      <c r="N8" s="75" t="str">
        <f t="shared" si="1"/>
        <v>2025년 4월 1일 ~ 2026년 3월 31일</v>
      </c>
      <c r="O8" s="75" t="s">
        <v>832</v>
      </c>
    </row>
    <row r="9" spans="2:16" x14ac:dyDescent="0.45">
      <c r="B9" s="75" t="s">
        <v>833</v>
      </c>
      <c r="C9" s="75" t="str">
        <f>VLOOKUP(B9,'2503기준유통망'!$B:$F,5,0)</f>
        <v>B/S-Shop</v>
      </c>
      <c r="D9" s="75" t="s">
        <v>791</v>
      </c>
      <c r="E9" s="75" t="s">
        <v>792</v>
      </c>
      <c r="F9" s="75" t="s">
        <v>793</v>
      </c>
      <c r="G9" s="75" t="str">
        <f t="shared" si="0"/>
        <v>이천만원 (\20,000,000원)</v>
      </c>
      <c r="H9" s="75" t="str">
        <f>VLOOKUP(B9,계약체결용!$B:$K,7,0)</f>
        <v>일룸 김해브랜드샵</v>
      </c>
      <c r="I9" s="75" t="str">
        <f>VLOOKUP(B9,계약체결용!$B:$K,8,0)</f>
        <v>615-17-27736</v>
      </c>
      <c r="J9" s="75" t="str">
        <f>VLOOKUP(B9,계약체결용!$B:$K,9,0)</f>
        <v>박 효 정</v>
      </c>
      <c r="K9" s="75" t="str">
        <f>VLOOKUP(B9,계약체결용!$B:$K,10,0)</f>
        <v>경남 김해시 풍유동 47-3</v>
      </c>
      <c r="L9" s="126" t="s">
        <v>1535</v>
      </c>
      <c r="M9" s="126" t="s">
        <v>1536</v>
      </c>
      <c r="N9" s="75" t="str">
        <f t="shared" si="1"/>
        <v>2025년 4월 1일 ~ 2026년 3월 31일</v>
      </c>
      <c r="O9" s="75" t="s">
        <v>838</v>
      </c>
    </row>
    <row r="10" spans="2:16" x14ac:dyDescent="0.45">
      <c r="B10" s="75" t="s">
        <v>839</v>
      </c>
      <c r="C10" s="75" t="str">
        <f>VLOOKUP(B10,'2503기준유통망'!$B:$F,5,0)</f>
        <v>B/S-Shop</v>
      </c>
      <c r="D10" s="75" t="s">
        <v>791</v>
      </c>
      <c r="E10" s="75" t="s">
        <v>792</v>
      </c>
      <c r="F10" s="75" t="s">
        <v>793</v>
      </c>
      <c r="G10" s="75" t="str">
        <f t="shared" si="0"/>
        <v>이천만원 (\20,000,000원)</v>
      </c>
      <c r="H10" s="75" t="str">
        <f>VLOOKUP(B10,계약체결용!$B:$K,7,0)</f>
        <v>일룸달서프리미엄샵</v>
      </c>
      <c r="I10" s="75" t="str">
        <f>VLOOKUP(B10,계약체결용!$B:$K,8,0)</f>
        <v>514-19-58959</v>
      </c>
      <c r="J10" s="75" t="str">
        <f>VLOOKUP(B10,계약체결용!$B:$K,9,0)</f>
        <v>서 미 경</v>
      </c>
      <c r="K10" s="75" t="str">
        <f>VLOOKUP(B10,계약체결용!$B:$K,10,0)</f>
        <v>대구 달서구 조암로 200(유천동)</v>
      </c>
      <c r="L10" s="126" t="s">
        <v>1535</v>
      </c>
      <c r="M10" s="126" t="s">
        <v>1536</v>
      </c>
      <c r="N10" s="75" t="str">
        <f t="shared" si="1"/>
        <v>2025년 4월 1일 ~ 2026년 3월 31일</v>
      </c>
      <c r="O10" s="75" t="s">
        <v>1542</v>
      </c>
    </row>
    <row r="11" spans="2:16" x14ac:dyDescent="0.45">
      <c r="B11" s="75" t="s">
        <v>845</v>
      </c>
      <c r="C11" s="75" t="str">
        <f>VLOOKUP(B11,'2503기준유통망'!$B:$F,5,0)</f>
        <v>B/S-Shop</v>
      </c>
      <c r="D11" s="75" t="s">
        <v>791</v>
      </c>
      <c r="E11" s="75" t="s">
        <v>792</v>
      </c>
      <c r="F11" s="75" t="s">
        <v>793</v>
      </c>
      <c r="G11" s="75" t="str">
        <f t="shared" si="0"/>
        <v>이천만원 (\20,000,000원)</v>
      </c>
      <c r="H11" s="75" t="str">
        <f>VLOOKUP(B11,계약체결용!$B:$K,7,0)</f>
        <v>일룸 덕진점</v>
      </c>
      <c r="I11" s="75" t="str">
        <f>VLOOKUP(B11,계약체결용!$B:$K,8,0)</f>
        <v>418-06-94448</v>
      </c>
      <c r="J11" s="75" t="str">
        <f>VLOOKUP(B11,계약체결용!$B:$K,9,0)</f>
        <v>유 수 정</v>
      </c>
      <c r="K11" s="75" t="str">
        <f>VLOOKUP(B11,계약체결용!$B:$K,10,0)</f>
        <v>전북 전주시 덕진구 송천중앙로 6</v>
      </c>
      <c r="L11" s="126" t="s">
        <v>1535</v>
      </c>
      <c r="M11" s="126" t="s">
        <v>1536</v>
      </c>
      <c r="N11" s="75" t="str">
        <f t="shared" si="1"/>
        <v>2025년 4월 1일 ~ 2026년 3월 31일</v>
      </c>
      <c r="O11" s="75" t="s">
        <v>1543</v>
      </c>
    </row>
    <row r="12" spans="2:16" x14ac:dyDescent="0.45">
      <c r="B12" s="75" t="s">
        <v>851</v>
      </c>
      <c r="C12" s="75" t="str">
        <f>VLOOKUP(B12,'2503기준유통망'!$B:$F,5,0)</f>
        <v>B/S-Shop</v>
      </c>
      <c r="D12" s="75" t="s">
        <v>791</v>
      </c>
      <c r="E12" s="75" t="s">
        <v>792</v>
      </c>
      <c r="F12" s="75" t="s">
        <v>793</v>
      </c>
      <c r="G12" s="75" t="str">
        <f t="shared" si="0"/>
        <v>이천만원 (\20,000,000원)</v>
      </c>
      <c r="H12" s="75" t="str">
        <f>VLOOKUP(B12,계약체결용!$B:$K,7,0)</f>
        <v>퍼시스스마트OPC(극동)</v>
      </c>
      <c r="I12" s="75" t="str">
        <f>VLOOKUP(B12,계약체결용!$B:$K,8,0)</f>
        <v>608-47-60393</v>
      </c>
      <c r="J12" s="75" t="str">
        <f>VLOOKUP(B12,계약체결용!$B:$K,9,0)</f>
        <v>강 호 근</v>
      </c>
      <c r="K12" s="75" t="str">
        <f>VLOOKUP(B12,계약체결용!$B:$K,10,0)</f>
        <v>경남 창원시 마산회원구 봉양로 187(봉암동)</v>
      </c>
      <c r="L12" s="126" t="s">
        <v>1535</v>
      </c>
      <c r="M12" s="126" t="s">
        <v>1536</v>
      </c>
      <c r="N12" s="75" t="str">
        <f t="shared" si="1"/>
        <v>2025년 4월 1일 ~ 2026년 3월 31일</v>
      </c>
      <c r="O12" s="75" t="s">
        <v>1544</v>
      </c>
    </row>
    <row r="13" spans="2:16" x14ac:dyDescent="0.45">
      <c r="B13" s="75" t="s">
        <v>857</v>
      </c>
      <c r="C13" s="75" t="str">
        <f>VLOOKUP(B13,'2503기준유통망'!$B:$F,5,0)</f>
        <v>B/S-Shop</v>
      </c>
      <c r="D13" s="75" t="s">
        <v>791</v>
      </c>
      <c r="E13" s="75" t="s">
        <v>792</v>
      </c>
      <c r="F13" s="75" t="s">
        <v>793</v>
      </c>
      <c r="G13" s="75" t="str">
        <f t="shared" si="0"/>
        <v>이천만원 (\20,000,000원)</v>
      </c>
      <c r="H13" s="75" t="str">
        <f>VLOOKUP(B13,계약체결용!$B:$K,7,0)</f>
        <v>주식회사 일룸앤데스커</v>
      </c>
      <c r="I13" s="75" t="str">
        <f>VLOOKUP(B13,계약체결용!$B:$K,8,0)</f>
        <v>408-88-02821</v>
      </c>
      <c r="J13" s="75" t="str">
        <f>VLOOKUP(B13,계약체결용!$B:$K,9,0)</f>
        <v>조 평 호</v>
      </c>
      <c r="K13" s="75" t="str">
        <f>VLOOKUP(B13,계약체결용!$B:$K,10,0)</f>
        <v>광주광역시 남구 봉선로 16 (주월동) 1층</v>
      </c>
      <c r="L13" s="126" t="s">
        <v>1535</v>
      </c>
      <c r="M13" s="126" t="s">
        <v>1536</v>
      </c>
      <c r="N13" s="75" t="str">
        <f t="shared" si="1"/>
        <v>2025년 4월 1일 ~ 2026년 3월 31일</v>
      </c>
      <c r="O13" s="75" t="s">
        <v>862</v>
      </c>
    </row>
    <row r="14" spans="2:16" x14ac:dyDescent="0.45">
      <c r="B14" s="96" t="s">
        <v>863</v>
      </c>
      <c r="C14" s="75" t="str">
        <f>VLOOKUP(B14,'2503기준유통망'!$B:$F,5,0)</f>
        <v>B/S-Shop</v>
      </c>
      <c r="D14" s="75" t="s">
        <v>791</v>
      </c>
      <c r="E14" s="75" t="s">
        <v>792</v>
      </c>
      <c r="F14" s="75" t="s">
        <v>793</v>
      </c>
      <c r="G14" s="75" t="str">
        <f t="shared" si="0"/>
        <v>이천만원 (\20,000,000원)</v>
      </c>
      <c r="H14" s="75" t="str">
        <f>VLOOKUP(B14,계약체결용!$B:$K,7,0)</f>
        <v>일룸 부천점</v>
      </c>
      <c r="I14" s="75" t="str">
        <f>VLOOKUP(B14,계약체결용!$B:$K,8,0)</f>
        <v>313-36-00088</v>
      </c>
      <c r="J14" s="75" t="str">
        <f>VLOOKUP(B14,계약체결용!$B:$K,9,0)</f>
        <v>최 민 영</v>
      </c>
      <c r="K14" s="75" t="str">
        <f>VLOOKUP(B14,계약체결용!$B:$K,10,0)</f>
        <v>경기 부천시 길주로 462</v>
      </c>
      <c r="L14" s="126" t="s">
        <v>1545</v>
      </c>
      <c r="M14" s="78" t="s">
        <v>1536</v>
      </c>
      <c r="N14" s="75" t="str">
        <f t="shared" si="1"/>
        <v>2026년 1월 1일 ~ 2026년 3월 31일</v>
      </c>
      <c r="O14" s="75" t="s">
        <v>870</v>
      </c>
    </row>
    <row r="15" spans="2:16" x14ac:dyDescent="0.45">
      <c r="B15" s="75" t="s">
        <v>871</v>
      </c>
      <c r="C15" s="75" t="str">
        <f>VLOOKUP(B15,'2503기준유통망'!$B:$F,5,0)</f>
        <v>B/S-Shop</v>
      </c>
      <c r="D15" s="75" t="s">
        <v>791</v>
      </c>
      <c r="E15" s="75" t="s">
        <v>792</v>
      </c>
      <c r="F15" s="75" t="s">
        <v>793</v>
      </c>
      <c r="G15" s="75" t="str">
        <f t="shared" si="0"/>
        <v>이천만원 (\20,000,000원)</v>
      </c>
      <c r="H15" s="75" t="str">
        <f>VLOOKUP(B15,계약체결용!$B:$K,7,0)</f>
        <v>일룸분당점</v>
      </c>
      <c r="I15" s="75" t="str">
        <f>VLOOKUP(B15,계약체결용!$B:$K,8,0)</f>
        <v>135-10-97912</v>
      </c>
      <c r="J15" s="75" t="str">
        <f>VLOOKUP(B15,계약체결용!$B:$K,9,0)</f>
        <v>최 상 헌</v>
      </c>
      <c r="K15" s="75" t="str">
        <f>VLOOKUP(B15,계약체결용!$B:$K,10,0)</f>
        <v>경기도 성남시 분당구 대왕판교로214</v>
      </c>
      <c r="L15" s="126" t="s">
        <v>1535</v>
      </c>
      <c r="M15" s="126" t="s">
        <v>1536</v>
      </c>
      <c r="N15" s="75" t="str">
        <f t="shared" si="1"/>
        <v>2025년 4월 1일 ~ 2026년 3월 31일</v>
      </c>
      <c r="O15" s="75" t="s">
        <v>876</v>
      </c>
    </row>
    <row r="16" spans="2:16" x14ac:dyDescent="0.45">
      <c r="B16" s="75" t="s">
        <v>877</v>
      </c>
      <c r="C16" s="75" t="str">
        <f>VLOOKUP(B16,'2503기준유통망'!$B:$F,5,0)</f>
        <v>B/S-Shop</v>
      </c>
      <c r="D16" s="76" t="s">
        <v>791</v>
      </c>
      <c r="E16" s="75" t="s">
        <v>792</v>
      </c>
      <c r="F16" s="75" t="s">
        <v>793</v>
      </c>
      <c r="G16" s="75" t="str">
        <f t="shared" si="0"/>
        <v>이천만원 (\20,000,000원)</v>
      </c>
      <c r="H16" s="75" t="str">
        <f>VLOOKUP(B16,계약체결용!$B:$K,7,0)</f>
        <v>일룸굿모닝엠에스(주)</v>
      </c>
      <c r="I16" s="75" t="str">
        <f>VLOOKUP(B16,계약체결용!$B:$K,8,0)</f>
        <v>410-86-88925</v>
      </c>
      <c r="J16" s="75" t="str">
        <f>VLOOKUP(B16,계약체결용!$B:$K,9,0)</f>
        <v>최 정 우</v>
      </c>
      <c r="K16" s="75" t="str">
        <f>VLOOKUP(B16,계약체결용!$B:$K,10,0)</f>
        <v>광주 광산구 하남대로 352 3층 일룸빛고을점</v>
      </c>
      <c r="L16" s="126" t="s">
        <v>1535</v>
      </c>
      <c r="M16" s="126" t="s">
        <v>1536</v>
      </c>
      <c r="N16" s="75" t="str">
        <f t="shared" si="1"/>
        <v>2025년 4월 1일 ~ 2026년 3월 31일</v>
      </c>
      <c r="O16" s="75" t="s">
        <v>882</v>
      </c>
    </row>
    <row r="17" spans="2:16" s="92" customFormat="1" x14ac:dyDescent="0.45">
      <c r="B17" s="77" t="s">
        <v>1213</v>
      </c>
      <c r="C17" s="77" t="s">
        <v>790</v>
      </c>
      <c r="D17" s="77" t="s">
        <v>791</v>
      </c>
      <c r="E17" s="77" t="s">
        <v>792</v>
      </c>
      <c r="F17" s="77" t="s">
        <v>793</v>
      </c>
      <c r="G17" s="77" t="str">
        <f t="shared" si="0"/>
        <v>이천만원 (\20,000,000원)</v>
      </c>
      <c r="H17" s="77" t="s">
        <v>1546</v>
      </c>
      <c r="I17" s="77" t="s">
        <v>1547</v>
      </c>
      <c r="J17" s="77" t="s">
        <v>880</v>
      </c>
      <c r="K17" s="77" t="s">
        <v>1548</v>
      </c>
      <c r="L17" s="78" t="s">
        <v>1549</v>
      </c>
      <c r="M17" s="78" t="s">
        <v>1536</v>
      </c>
      <c r="N17" s="77" t="str">
        <f t="shared" si="1"/>
        <v>2025년 5월 29일 ~ 2026년 3월 31일</v>
      </c>
      <c r="O17" s="77" t="s">
        <v>882</v>
      </c>
      <c r="P17" s="82"/>
    </row>
    <row r="18" spans="2:16" x14ac:dyDescent="0.45">
      <c r="B18" s="75" t="s">
        <v>883</v>
      </c>
      <c r="C18" s="75" t="str">
        <f>VLOOKUP(B18,'2503기준유통망'!$B:$F,5,0)</f>
        <v>B/S-Shop</v>
      </c>
      <c r="D18" s="75" t="s">
        <v>791</v>
      </c>
      <c r="E18" s="75" t="s">
        <v>792</v>
      </c>
      <c r="F18" s="75" t="s">
        <v>793</v>
      </c>
      <c r="G18" s="75" t="str">
        <f t="shared" si="0"/>
        <v>이천만원 (\20,000,000원)</v>
      </c>
      <c r="H18" s="75" t="str">
        <f>VLOOKUP(B18,계약체결용!$B:$K,7,0)</f>
        <v>일룸서대전점2</v>
      </c>
      <c r="I18" s="75" t="str">
        <f>VLOOKUP(B18,계약체결용!$B:$K,8,0)</f>
        <v>305-29-60452</v>
      </c>
      <c r="J18" s="75" t="str">
        <f>VLOOKUP(B18,계약체결용!$B:$K,9,0)</f>
        <v>김 영 애</v>
      </c>
      <c r="K18" s="75" t="str">
        <f>VLOOKUP(B18,계약체결용!$B:$K,10,0)</f>
        <v>대전 중구 중앙로 8 (문화동, 가구갤러리 8층)</v>
      </c>
      <c r="L18" s="126" t="s">
        <v>1535</v>
      </c>
      <c r="M18" s="126" t="s">
        <v>1536</v>
      </c>
      <c r="N18" s="75" t="str">
        <f t="shared" si="1"/>
        <v>2025년 4월 1일 ~ 2026년 3월 31일</v>
      </c>
      <c r="O18" s="75" t="s">
        <v>888</v>
      </c>
    </row>
    <row r="19" spans="2:16" x14ac:dyDescent="0.45">
      <c r="B19" s="75" t="s">
        <v>889</v>
      </c>
      <c r="C19" s="75" t="str">
        <f>VLOOKUP(B19,'2503기준유통망'!$B:$F,5,0)</f>
        <v>B/S-Shop</v>
      </c>
      <c r="D19" s="75" t="s">
        <v>791</v>
      </c>
      <c r="E19" s="75" t="s">
        <v>792</v>
      </c>
      <c r="F19" s="75" t="s">
        <v>793</v>
      </c>
      <c r="G19" s="75" t="str">
        <f t="shared" si="0"/>
        <v>이천만원 (\20,000,000원)</v>
      </c>
      <c r="H19" s="75" t="str">
        <f>VLOOKUP(B19,계약체결용!$B:$K,7,0)</f>
        <v>일룸 서산점</v>
      </c>
      <c r="I19" s="75" t="str">
        <f>VLOOKUP(B19,계약체결용!$B:$K,8,0)</f>
        <v>310-02-95975</v>
      </c>
      <c r="J19" s="75" t="str">
        <f>VLOOKUP(B19,계약체결용!$B:$K,9,0)</f>
        <v>김 문 자</v>
      </c>
      <c r="K19" s="75" t="str">
        <f>VLOOKUP(B19,계약체결용!$B:$K,10,0)</f>
        <v>충남 서산시 서해로 3449(석림동)</v>
      </c>
      <c r="L19" s="126" t="s">
        <v>1535</v>
      </c>
      <c r="M19" s="126" t="s">
        <v>1536</v>
      </c>
      <c r="N19" s="75" t="str">
        <f t="shared" si="1"/>
        <v>2025년 4월 1일 ~ 2026년 3월 31일</v>
      </c>
      <c r="O19" s="75" t="s">
        <v>1550</v>
      </c>
    </row>
    <row r="20" spans="2:16" x14ac:dyDescent="0.45">
      <c r="B20" s="80" t="s">
        <v>895</v>
      </c>
      <c r="C20" s="75" t="str">
        <f>VLOOKUP(B20,'2503기준유통망'!$B:$F,5,0)</f>
        <v>B/S-Shop</v>
      </c>
      <c r="D20" s="75" t="s">
        <v>791</v>
      </c>
      <c r="E20" s="75" t="s">
        <v>792</v>
      </c>
      <c r="F20" s="75" t="s">
        <v>793</v>
      </c>
      <c r="G20" s="75" t="str">
        <f t="shared" si="0"/>
        <v>이천만원 (\20,000,000원)</v>
      </c>
      <c r="H20" s="75" t="str">
        <f>VLOOKUP(B20,계약체결용!$B:$K,7,0)</f>
        <v>일룸 세종점</v>
      </c>
      <c r="I20" s="75" t="str">
        <f>VLOOKUP(B20,계약체결용!$B:$K,8,0)</f>
        <v>760-33-00129</v>
      </c>
      <c r="J20" s="75" t="str">
        <f>VLOOKUP(B20,계약체결용!$B:$K,9,0)</f>
        <v>박정나, 이상연</v>
      </c>
      <c r="K20" s="75" t="str">
        <f>VLOOKUP(B20,계약체결용!$B:$K,10,0)</f>
        <v>세종 아름동 1313 정원타워 3,4층</v>
      </c>
      <c r="L20" s="126" t="s">
        <v>1535</v>
      </c>
      <c r="M20" s="78" t="s">
        <v>1536</v>
      </c>
      <c r="N20" s="75" t="str">
        <f t="shared" si="1"/>
        <v>2025년 4월 1일 ~ 2026년 3월 31일</v>
      </c>
      <c r="O20" s="75" t="s">
        <v>1551</v>
      </c>
    </row>
    <row r="21" spans="2:16" x14ac:dyDescent="0.45">
      <c r="B21" s="75" t="s">
        <v>901</v>
      </c>
      <c r="C21" s="75" t="str">
        <f>VLOOKUP(B21,'2503기준유통망'!$B:$F,5,0)</f>
        <v>B/S-Shop</v>
      </c>
      <c r="D21" s="75" t="s">
        <v>791</v>
      </c>
      <c r="E21" s="75" t="s">
        <v>792</v>
      </c>
      <c r="F21" s="75" t="s">
        <v>793</v>
      </c>
      <c r="G21" s="75" t="str">
        <f t="shared" si="0"/>
        <v>이천만원 (\20,000,000원)</v>
      </c>
      <c r="H21" s="75" t="str">
        <f>VLOOKUP(B21,계약체결용!$B:$K,7,0)</f>
        <v>일룸수성점</v>
      </c>
      <c r="I21" s="75" t="str">
        <f>VLOOKUP(B21,계약체결용!$B:$K,8,0)</f>
        <v>502-21-75604</v>
      </c>
      <c r="J21" s="75" t="str">
        <f>VLOOKUP(B21,계약체결용!$B:$K,9,0)</f>
        <v>조진희, 차인호</v>
      </c>
      <c r="K21" s="75" t="str">
        <f>VLOOKUP(B21,계약체결용!$B:$K,10,0)</f>
        <v>대구 수성구 희망로 152</v>
      </c>
      <c r="L21" s="126" t="s">
        <v>1535</v>
      </c>
      <c r="M21" s="126" t="s">
        <v>1536</v>
      </c>
      <c r="N21" s="75" t="str">
        <f t="shared" si="1"/>
        <v>2025년 4월 1일 ~ 2026년 3월 31일</v>
      </c>
      <c r="O21" s="75" t="s">
        <v>1552</v>
      </c>
    </row>
    <row r="22" spans="2:16" x14ac:dyDescent="0.45">
      <c r="B22" s="75" t="s">
        <v>907</v>
      </c>
      <c r="C22" s="75" t="str">
        <f>VLOOKUP(B22,'2503기준유통망'!$B:$F,5,0)</f>
        <v>B/S-Shop</v>
      </c>
      <c r="D22" s="75" t="s">
        <v>791</v>
      </c>
      <c r="E22" s="75" t="s">
        <v>792</v>
      </c>
      <c r="F22" s="75" t="s">
        <v>793</v>
      </c>
      <c r="G22" s="75" t="str">
        <f t="shared" si="0"/>
        <v>이천만원 (\20,000,000원)</v>
      </c>
      <c r="H22" s="75" t="str">
        <f>VLOOKUP(B22,계약체결용!$B:$K,7,0)</f>
        <v>주식회사 일룸</v>
      </c>
      <c r="I22" s="75" t="str">
        <f>VLOOKUP(B22,계약체결용!$B:$K,8,0)</f>
        <v>142-88-00388</v>
      </c>
      <c r="J22" s="75" t="str">
        <f>VLOOKUP(B22,계약체결용!$B:$K,9,0)</f>
        <v>김 대 현</v>
      </c>
      <c r="K22" s="75" t="str">
        <f>VLOOKUP(B22,계약체결용!$B:$K,10,0)</f>
        <v>전남 순천시 중앙로 118</v>
      </c>
      <c r="L22" s="126" t="s">
        <v>1535</v>
      </c>
      <c r="M22" s="126" t="s">
        <v>1536</v>
      </c>
      <c r="N22" s="75" t="str">
        <f t="shared" si="1"/>
        <v>2025년 4월 1일 ~ 2026년 3월 31일</v>
      </c>
      <c r="O22" s="75" t="s">
        <v>1553</v>
      </c>
    </row>
    <row r="23" spans="2:16" x14ac:dyDescent="0.45">
      <c r="B23" s="75" t="s">
        <v>919</v>
      </c>
      <c r="C23" s="75" t="str">
        <f>VLOOKUP(B23,'2503기준유통망'!$B:$F,5,0)</f>
        <v>B/S-Shop</v>
      </c>
      <c r="D23" s="75" t="s">
        <v>791</v>
      </c>
      <c r="E23" s="75" t="s">
        <v>792</v>
      </c>
      <c r="F23" s="75" t="s">
        <v>793</v>
      </c>
      <c r="G23" s="75" t="str">
        <f t="shared" si="0"/>
        <v>이천만원 (\20,000,000원)</v>
      </c>
      <c r="H23" s="75" t="str">
        <f>VLOOKUP(B23,계약체결용!$B:$K,7,0)</f>
        <v>일룸안동점</v>
      </c>
      <c r="I23" s="75" t="str">
        <f>VLOOKUP(B23,계약체결용!$B:$K,8,0)</f>
        <v>511-08-44988</v>
      </c>
      <c r="J23" s="75" t="str">
        <f>VLOOKUP(B23,계약체결용!$B:$K,9,0)</f>
        <v>조현주, 박주홍</v>
      </c>
      <c r="K23" s="75" t="str">
        <f>VLOOKUP(B23,계약체결용!$B:$K,10,0)</f>
        <v>경북 안동시 하이마로 151</v>
      </c>
      <c r="L23" s="126" t="s">
        <v>1535</v>
      </c>
      <c r="M23" s="126" t="s">
        <v>1536</v>
      </c>
      <c r="N23" s="75" t="str">
        <f t="shared" si="1"/>
        <v>2025년 4월 1일 ~ 2026년 3월 31일</v>
      </c>
      <c r="O23" s="75" t="s">
        <v>924</v>
      </c>
    </row>
    <row r="24" spans="2:16" x14ac:dyDescent="0.45">
      <c r="B24" s="75" t="s">
        <v>925</v>
      </c>
      <c r="C24" s="75" t="str">
        <f>VLOOKUP(B24,'2503기준유통망'!$B:$F,5,0)</f>
        <v>B/S-Shop</v>
      </c>
      <c r="D24" s="75" t="s">
        <v>791</v>
      </c>
      <c r="E24" s="75" t="s">
        <v>792</v>
      </c>
      <c r="F24" s="75" t="s">
        <v>793</v>
      </c>
      <c r="G24" s="75" t="str">
        <f t="shared" si="0"/>
        <v>이천만원 (\20,000,000원)</v>
      </c>
      <c r="H24" s="77" t="str">
        <f>VLOOKUP(B24,계약체결용!$B:$K,7,0)</f>
        <v>일룸안산상록수점</v>
      </c>
      <c r="I24" s="77" t="str">
        <f>VLOOKUP(B24,계약체결용!$B:$K,8,0)</f>
        <v>207-04-55609</v>
      </c>
      <c r="J24" s="77" t="s">
        <v>1554</v>
      </c>
      <c r="K24" s="75" t="str">
        <f>VLOOKUP(B24,계약체결용!$B:$K,10,0)</f>
        <v>경기 안산시 상록구 용신로 451-1(본오동,1,2층)</v>
      </c>
      <c r="L24" s="126" t="s">
        <v>1535</v>
      </c>
      <c r="M24" s="126" t="s">
        <v>1536</v>
      </c>
      <c r="N24" s="75" t="str">
        <f t="shared" si="1"/>
        <v>2025년 4월 1일 ~ 2026년 3월 31일</v>
      </c>
      <c r="O24" s="77" t="s">
        <v>1555</v>
      </c>
    </row>
    <row r="25" spans="2:16" x14ac:dyDescent="0.45">
      <c r="B25" s="75" t="s">
        <v>931</v>
      </c>
      <c r="C25" s="75" t="str">
        <f>VLOOKUP(B25,'2503기준유통망'!$B:$F,5,0)</f>
        <v>B/S-Shop</v>
      </c>
      <c r="D25" s="75" t="s">
        <v>791</v>
      </c>
      <c r="E25" s="75" t="s">
        <v>792</v>
      </c>
      <c r="F25" s="75" t="s">
        <v>793</v>
      </c>
      <c r="G25" s="75" t="str">
        <f t="shared" si="0"/>
        <v>이천만원 (\20,000,000원)</v>
      </c>
      <c r="H25" s="75" t="str">
        <f>VLOOKUP(B25,계약체결용!$B:$K,7,0)</f>
        <v>일룸양산점</v>
      </c>
      <c r="I25" s="75" t="str">
        <f>VLOOKUP(B25,계약체결용!$B:$K,8,0)</f>
        <v>463-03-00712</v>
      </c>
      <c r="J25" s="75" t="str">
        <f>VLOOKUP(B25,계약체결용!$B:$K,9,0)</f>
        <v>남 명 현</v>
      </c>
      <c r="K25" s="75" t="str">
        <f>VLOOKUP(B25,계약체결용!$B:$K,10,0)</f>
        <v>경남 양산시 물금읍 황산로 497</v>
      </c>
      <c r="L25" s="126" t="s">
        <v>1535</v>
      </c>
      <c r="M25" s="126" t="s">
        <v>1536</v>
      </c>
      <c r="N25" s="75" t="str">
        <f t="shared" si="1"/>
        <v>2025년 4월 1일 ~ 2026년 3월 31일</v>
      </c>
      <c r="O25" s="75" t="s">
        <v>936</v>
      </c>
    </row>
    <row r="26" spans="2:16" x14ac:dyDescent="0.45">
      <c r="B26" s="80" t="s">
        <v>937</v>
      </c>
      <c r="C26" s="75" t="str">
        <f>VLOOKUP(B26,'2503기준유통망'!$B:$F,5,0)</f>
        <v>B/S-Shop</v>
      </c>
      <c r="D26" s="75" t="s">
        <v>791</v>
      </c>
      <c r="E26" s="75" t="s">
        <v>792</v>
      </c>
      <c r="F26" s="75" t="s">
        <v>793</v>
      </c>
      <c r="G26" s="75" t="str">
        <f t="shared" si="0"/>
        <v>이천만원 (\20,000,000원)</v>
      </c>
      <c r="H26" s="75" t="str">
        <f>VLOOKUP(B26,계약체결용!$B:$K,7,0)</f>
        <v>(주)일룸연제점</v>
      </c>
      <c r="I26" s="75" t="str">
        <f>VLOOKUP(B26,계약체결용!$B:$K,8,0)</f>
        <v>388-87-01424</v>
      </c>
      <c r="J26" s="75" t="str">
        <f>VLOOKUP(B26,계약체결용!$B:$K,9,0)</f>
        <v>이 철 희</v>
      </c>
      <c r="K26" s="75" t="str">
        <f>VLOOKUP(B26,계약체결용!$B:$K,10,0)</f>
        <v>부산 연제구 거제대로 297, 2~3층</v>
      </c>
      <c r="L26" s="126" t="s">
        <v>1535</v>
      </c>
      <c r="M26" s="78" t="s">
        <v>1536</v>
      </c>
      <c r="N26" s="75" t="str">
        <f t="shared" si="1"/>
        <v>2025년 4월 1일 ~ 2026년 3월 31일</v>
      </c>
      <c r="O26" s="75" t="s">
        <v>942</v>
      </c>
    </row>
    <row r="27" spans="2:16" x14ac:dyDescent="0.45">
      <c r="B27" s="75" t="s">
        <v>943</v>
      </c>
      <c r="C27" s="75" t="str">
        <f>VLOOKUP(B27,'2503기준유통망'!$B:$F,5,0)</f>
        <v>B/S-Shop</v>
      </c>
      <c r="D27" s="75" t="s">
        <v>791</v>
      </c>
      <c r="E27" s="75" t="s">
        <v>792</v>
      </c>
      <c r="F27" s="75" t="s">
        <v>793</v>
      </c>
      <c r="G27" s="75" t="str">
        <f t="shared" si="0"/>
        <v>이천만원 (\20,000,000원)</v>
      </c>
      <c r="H27" s="75" t="str">
        <f>VLOOKUP(B27,계약체결용!$B:$K,7,0)</f>
        <v>일룸원주점</v>
      </c>
      <c r="I27" s="75" t="str">
        <f>VLOOKUP(B27,계약체결용!$B:$K,8,0)</f>
        <v>224-07-71963</v>
      </c>
      <c r="J27" s="75" t="str">
        <f>VLOOKUP(B27,계약체결용!$B:$K,9,0)</f>
        <v>이 정 복</v>
      </c>
      <c r="K27" s="75" t="str">
        <f>VLOOKUP(B27,계약체결용!$B:$K,10,0)</f>
        <v>강원 원주시 호저면 원문로 668-9 만종가구단지 2층</v>
      </c>
      <c r="L27" s="126" t="s">
        <v>1535</v>
      </c>
      <c r="M27" s="126" t="s">
        <v>1536</v>
      </c>
      <c r="N27" s="75" t="str">
        <f t="shared" si="1"/>
        <v>2025년 4월 1일 ~ 2026년 3월 31일</v>
      </c>
      <c r="O27" s="75" t="s">
        <v>1556</v>
      </c>
    </row>
    <row r="28" spans="2:16" x14ac:dyDescent="0.45">
      <c r="B28" s="75" t="s">
        <v>955</v>
      </c>
      <c r="C28" s="75" t="str">
        <f>VLOOKUP(B28,'2503기준유통망'!$B:$F,5,0)</f>
        <v>B/S-Shop</v>
      </c>
      <c r="D28" s="75" t="s">
        <v>791</v>
      </c>
      <c r="E28" s="75" t="s">
        <v>792</v>
      </c>
      <c r="F28" s="75" t="s">
        <v>793</v>
      </c>
      <c r="G28" s="75" t="str">
        <f t="shared" si="0"/>
        <v>이천만원 (\20,000,000원)</v>
      </c>
      <c r="H28" s="75" t="str">
        <f>VLOOKUP(B28,계약체결용!$B:$K,7,0)</f>
        <v>일룸의정부브랜드샵</v>
      </c>
      <c r="I28" s="75" t="str">
        <f>VLOOKUP(B28,계약체결용!$B:$K,8,0)</f>
        <v>550-88-00221</v>
      </c>
      <c r="J28" s="75" t="str">
        <f>VLOOKUP(B28,계약체결용!$B:$K,9,0)</f>
        <v>이 경 숙</v>
      </c>
      <c r="K28" s="75" t="str">
        <f>VLOOKUP(B28,계약체결용!$B:$K,10,0)</f>
        <v>경기 의정부시 민락로 397</v>
      </c>
      <c r="L28" s="126" t="s">
        <v>1535</v>
      </c>
      <c r="M28" s="126" t="s">
        <v>1536</v>
      </c>
      <c r="N28" s="75" t="str">
        <f t="shared" si="1"/>
        <v>2025년 4월 1일 ~ 2026년 3월 31일</v>
      </c>
      <c r="O28" s="75" t="s">
        <v>960</v>
      </c>
    </row>
    <row r="29" spans="2:16" x14ac:dyDescent="0.45">
      <c r="B29" s="75" t="s">
        <v>961</v>
      </c>
      <c r="C29" s="75" t="str">
        <f>VLOOKUP(B29,'2503기준유통망'!$B:$F,5,0)</f>
        <v>B/S-Shop</v>
      </c>
      <c r="D29" s="75" t="s">
        <v>791</v>
      </c>
      <c r="E29" s="75" t="s">
        <v>792</v>
      </c>
      <c r="F29" s="75" t="s">
        <v>793</v>
      </c>
      <c r="G29" s="75" t="str">
        <f t="shared" si="0"/>
        <v>이천만원 (\20,000,000원)</v>
      </c>
      <c r="H29" s="75" t="str">
        <f>VLOOKUP(B29,계약체결용!$B:$K,7,0)</f>
        <v>(주)알루컴 인천점</v>
      </c>
      <c r="I29" s="75" t="str">
        <f>VLOOKUP(B29,계약체결용!$B:$K,8,0)</f>
        <v>105-85-41701</v>
      </c>
      <c r="J29" s="75" t="str">
        <f>VLOOKUP(B29,계약체결용!$B:$K,9,0)</f>
        <v>이 종 균</v>
      </c>
      <c r="K29" s="75" t="str">
        <f>VLOOKUP(B29,계약체결용!$B:$K,10,0)</f>
        <v>인천 남동구 인주대로 644</v>
      </c>
      <c r="L29" s="126" t="s">
        <v>1535</v>
      </c>
      <c r="M29" s="126" t="s">
        <v>1536</v>
      </c>
      <c r="N29" s="75" t="str">
        <f t="shared" si="1"/>
        <v>2025년 4월 1일 ~ 2026년 3월 31일</v>
      </c>
      <c r="O29" s="75" t="s">
        <v>1557</v>
      </c>
    </row>
    <row r="30" spans="2:16" x14ac:dyDescent="0.45">
      <c r="B30" s="75" t="s">
        <v>967</v>
      </c>
      <c r="C30" s="75" t="str">
        <f>VLOOKUP(B30,'2503기준유통망'!$B:$F,5,0)</f>
        <v>B/S-Shop</v>
      </c>
      <c r="D30" s="75" t="s">
        <v>791</v>
      </c>
      <c r="E30" s="75" t="s">
        <v>792</v>
      </c>
      <c r="F30" s="75" t="s">
        <v>793</v>
      </c>
      <c r="G30" s="75" t="str">
        <f t="shared" si="0"/>
        <v>이천만원 (\20,000,000원)</v>
      </c>
      <c r="H30" s="75" t="str">
        <f>VLOOKUP(B30,계약체결용!$B:$K,7,0)</f>
        <v>(주)플랜 디</v>
      </c>
      <c r="I30" s="75" t="str">
        <f>VLOOKUP(B30,계약체결용!$B:$K,8,0)</f>
        <v>670-81-01506</v>
      </c>
      <c r="J30" s="75" t="str">
        <f>VLOOKUP(B30,계약체결용!$B:$K,9,0)</f>
        <v>김정은, 안중협</v>
      </c>
      <c r="K30" s="75" t="str">
        <f>VLOOKUP(B30,계약체결용!$B:$K,10,0)</f>
        <v>경기도 고양시 일산서구 탄중로 120, 1~2동(덕이동)</v>
      </c>
      <c r="L30" s="126" t="s">
        <v>1535</v>
      </c>
      <c r="M30" s="126" t="s">
        <v>1536</v>
      </c>
      <c r="N30" s="75" t="str">
        <f t="shared" si="1"/>
        <v>2025년 4월 1일 ~ 2026년 3월 31일</v>
      </c>
      <c r="O30" s="75" t="s">
        <v>972</v>
      </c>
    </row>
    <row r="31" spans="2:16" x14ac:dyDescent="0.45">
      <c r="B31" s="75" t="s">
        <v>973</v>
      </c>
      <c r="C31" s="75" t="str">
        <f>VLOOKUP(B31,'2503기준유통망'!$B:$F,5,0)</f>
        <v>B/S-Shop</v>
      </c>
      <c r="D31" s="75" t="s">
        <v>791</v>
      </c>
      <c r="E31" s="75" t="s">
        <v>792</v>
      </c>
      <c r="F31" s="75" t="s">
        <v>793</v>
      </c>
      <c r="G31" s="75" t="str">
        <f t="shared" si="0"/>
        <v>이천만원 (\20,000,000원)</v>
      </c>
      <c r="H31" s="75" t="str">
        <f>VLOOKUP(B31,계약체결용!$B:$K,7,0)</f>
        <v>일룸전군점</v>
      </c>
      <c r="I31" s="75" t="str">
        <f>VLOOKUP(B31,계약체결용!$B:$K,8,0)</f>
        <v>403-03-30193</v>
      </c>
      <c r="J31" s="75" t="str">
        <f>VLOOKUP(B31,계약체결용!$B:$K,9,0)</f>
        <v>안 상 준</v>
      </c>
      <c r="K31" s="75" t="str">
        <f>VLOOKUP(B31,계약체결용!$B:$K,10,0)</f>
        <v>전북 김제시 백구면 영상3길 28-26</v>
      </c>
      <c r="L31" s="126" t="s">
        <v>1535</v>
      </c>
      <c r="M31" s="126" t="s">
        <v>1536</v>
      </c>
      <c r="N31" s="75" t="str">
        <f t="shared" si="1"/>
        <v>2025년 4월 1일 ~ 2026년 3월 31일</v>
      </c>
      <c r="O31" s="75" t="s">
        <v>978</v>
      </c>
    </row>
    <row r="32" spans="2:16" x14ac:dyDescent="0.45">
      <c r="B32" s="75" t="s">
        <v>979</v>
      </c>
      <c r="C32" s="75" t="str">
        <f>VLOOKUP(B32,'2503기준유통망'!$B:$F,5,0)</f>
        <v>B/S-Shop</v>
      </c>
      <c r="D32" s="75" t="s">
        <v>791</v>
      </c>
      <c r="E32" s="75" t="s">
        <v>792</v>
      </c>
      <c r="F32" s="75" t="s">
        <v>793</v>
      </c>
      <c r="G32" s="75" t="str">
        <f t="shared" si="0"/>
        <v>이천만원 (\20,000,000원)</v>
      </c>
      <c r="H32" s="75" t="str">
        <f>VLOOKUP(B32,계약체결용!$B:$K,7,0)</f>
        <v>일룸중화산점</v>
      </c>
      <c r="I32" s="75" t="str">
        <f>VLOOKUP(B32,계약체결용!$B:$K,8,0)</f>
        <v>402-20-78721</v>
      </c>
      <c r="J32" s="75" t="str">
        <f>VLOOKUP(B32,계약체결용!$B:$K,9,0)</f>
        <v>양 유 진</v>
      </c>
      <c r="K32" s="75" t="str">
        <f>VLOOKUP(B32,계약체결용!$B:$K,10,0)</f>
        <v>전북 전주시 완산구 중화산동2가 528-6</v>
      </c>
      <c r="L32" s="126" t="s">
        <v>1535</v>
      </c>
      <c r="M32" s="126" t="s">
        <v>1536</v>
      </c>
      <c r="N32" s="75" t="str">
        <f t="shared" si="1"/>
        <v>2025년 4월 1일 ~ 2026년 3월 31일</v>
      </c>
      <c r="O32" s="75" t="s">
        <v>984</v>
      </c>
    </row>
    <row r="33" spans="2:15" x14ac:dyDescent="0.45">
      <c r="B33" s="75" t="s">
        <v>985</v>
      </c>
      <c r="C33" s="75" t="str">
        <f>VLOOKUP(B33,'2503기준유통망'!$B:$F,5,0)</f>
        <v>B/S-Shop</v>
      </c>
      <c r="D33" s="75" t="s">
        <v>791</v>
      </c>
      <c r="E33" s="75" t="s">
        <v>792</v>
      </c>
      <c r="F33" s="75" t="s">
        <v>793</v>
      </c>
      <c r="G33" s="75" t="str">
        <f t="shared" si="0"/>
        <v>이천만원 (\20,000,000원)</v>
      </c>
      <c r="H33" s="75" t="str">
        <f>VLOOKUP(B33,계약체결용!$B:$K,7,0)</f>
        <v>일룸진주점</v>
      </c>
      <c r="I33" s="75" t="str">
        <f>VLOOKUP(B33,계약체결용!$B:$K,8,0)</f>
        <v>613-06-76176</v>
      </c>
      <c r="J33" s="75" t="str">
        <f>VLOOKUP(B33,계약체결용!$B:$K,9,0)</f>
        <v>김지융, 김현실</v>
      </c>
      <c r="K33" s="75" t="str">
        <f>VLOOKUP(B33,계약체결용!$B:$K,10,0)</f>
        <v>경남 진주시 진주대로 638(가좌동)</v>
      </c>
      <c r="L33" s="126" t="s">
        <v>1535</v>
      </c>
      <c r="M33" s="126" t="s">
        <v>1536</v>
      </c>
      <c r="N33" s="75" t="str">
        <f t="shared" si="1"/>
        <v>2025년 4월 1일 ~ 2026년 3월 31일</v>
      </c>
      <c r="O33" s="75" t="s">
        <v>990</v>
      </c>
    </row>
    <row r="34" spans="2:15" x14ac:dyDescent="0.45">
      <c r="B34" s="75" t="s">
        <v>991</v>
      </c>
      <c r="C34" s="75" t="str">
        <f>VLOOKUP(B34,'2503기준유통망'!$B:$F,5,0)</f>
        <v>B/S-Shop</v>
      </c>
      <c r="D34" s="75" t="s">
        <v>791</v>
      </c>
      <c r="E34" s="75" t="s">
        <v>792</v>
      </c>
      <c r="F34" s="75" t="s">
        <v>793</v>
      </c>
      <c r="G34" s="75" t="str">
        <f t="shared" si="0"/>
        <v>이천만원 (\20,000,000원)</v>
      </c>
      <c r="H34" s="75" t="str">
        <f>VLOOKUP(B34,계약체결용!$B:$K,7,0)</f>
        <v>(주)창원퍼시스</v>
      </c>
      <c r="I34" s="75" t="str">
        <f>VLOOKUP(B34,계약체결용!$B:$K,8,0)</f>
        <v>609-81-43386</v>
      </c>
      <c r="J34" s="75" t="str">
        <f>VLOOKUP(B34,계약체결용!$B:$K,9,0)</f>
        <v>정 진 환</v>
      </c>
      <c r="K34" s="75" t="str">
        <f>VLOOKUP(B34,계약체결용!$B:$K,10,0)</f>
        <v>경상남도 창원시 의창구 창원대로 360</v>
      </c>
      <c r="L34" s="126" t="s">
        <v>1535</v>
      </c>
      <c r="M34" s="126" t="s">
        <v>1536</v>
      </c>
      <c r="N34" s="75" t="str">
        <f t="shared" si="1"/>
        <v>2025년 4월 1일 ~ 2026년 3월 31일</v>
      </c>
      <c r="O34" s="75" t="s">
        <v>1558</v>
      </c>
    </row>
    <row r="35" spans="2:15" x14ac:dyDescent="0.45">
      <c r="B35" s="75" t="s">
        <v>997</v>
      </c>
      <c r="C35" s="75" t="str">
        <f>VLOOKUP(B35,'2503기준유통망'!$B:$F,5,0)</f>
        <v>B/S-Shop</v>
      </c>
      <c r="D35" s="75" t="s">
        <v>791</v>
      </c>
      <c r="E35" s="75" t="s">
        <v>792</v>
      </c>
      <c r="F35" s="75" t="s">
        <v>793</v>
      </c>
      <c r="G35" s="75" t="str">
        <f t="shared" ref="G35:G66" si="2">E35&amp;" (\"&amp;F35&amp;")"</f>
        <v>이천만원 (\20,000,000원)</v>
      </c>
      <c r="H35" s="75" t="str">
        <f>VLOOKUP(B35,계약체결용!$B:$K,7,0)</f>
        <v>일룸천안불당점</v>
      </c>
      <c r="I35" s="75" t="str">
        <f>VLOOKUP(B35,계약체결용!$B:$K,8,0)</f>
        <v>416-22-25834</v>
      </c>
      <c r="J35" s="77" t="s">
        <v>1559</v>
      </c>
      <c r="K35" s="75" t="str">
        <f>VLOOKUP(B35,계약체결용!$B:$K,10,0)</f>
        <v>충남 천안시 서북구 검은들3길 36 (불당동)</v>
      </c>
      <c r="L35" s="126" t="s">
        <v>1535</v>
      </c>
      <c r="M35" s="126" t="s">
        <v>1536</v>
      </c>
      <c r="N35" s="75" t="str">
        <f t="shared" ref="N35:N66" si="3">L35&amp;" ~ "&amp;M35</f>
        <v>2025년 4월 1일 ~ 2026년 3월 31일</v>
      </c>
      <c r="O35" s="75" t="s">
        <v>1002</v>
      </c>
    </row>
    <row r="36" spans="2:15" x14ac:dyDescent="0.45">
      <c r="B36" s="75" t="s">
        <v>1003</v>
      </c>
      <c r="C36" s="75" t="str">
        <f>VLOOKUP(B36,'2503기준유통망'!$B:$F,5,0)</f>
        <v>B/S-Shop</v>
      </c>
      <c r="D36" s="75" t="s">
        <v>791</v>
      </c>
      <c r="E36" s="75" t="s">
        <v>792</v>
      </c>
      <c r="F36" s="75" t="s">
        <v>793</v>
      </c>
      <c r="G36" s="75" t="str">
        <f t="shared" si="2"/>
        <v>이천만원 (\20,000,000원)</v>
      </c>
      <c r="H36" s="75" t="str">
        <f>VLOOKUP(B36,계약체결용!$B:$K,7,0)</f>
        <v>일룸청남점</v>
      </c>
      <c r="I36" s="75" t="str">
        <f>VLOOKUP(B36,계약체결용!$B:$K,8,0)</f>
        <v>745-10-00252</v>
      </c>
      <c r="J36" s="75" t="str">
        <f>VLOOKUP(B36,계약체결용!$B:$K,9,0)</f>
        <v>박 종 상</v>
      </c>
      <c r="K36" s="75" t="str">
        <f>VLOOKUP(B36,계약체결용!$B:$K,10,0)</f>
        <v>충북 청주시 서원구 남이면 가구단지길 21-3 청남가구단지 105호</v>
      </c>
      <c r="L36" s="126" t="s">
        <v>1535</v>
      </c>
      <c r="M36" s="126" t="s">
        <v>1536</v>
      </c>
      <c r="N36" s="75" t="str">
        <f t="shared" si="3"/>
        <v>2025년 4월 1일 ~ 2026년 3월 31일</v>
      </c>
      <c r="O36" s="75" t="s">
        <v>1008</v>
      </c>
    </row>
    <row r="37" spans="2:15" x14ac:dyDescent="0.45">
      <c r="B37" s="75" t="s">
        <v>1009</v>
      </c>
      <c r="C37" s="75" t="str">
        <f>VLOOKUP(B37,'2503기준유통망'!$B:$F,5,0)</f>
        <v>B/S-Shop</v>
      </c>
      <c r="D37" s="75" t="s">
        <v>791</v>
      </c>
      <c r="E37" s="75" t="s">
        <v>792</v>
      </c>
      <c r="F37" s="75" t="s">
        <v>793</v>
      </c>
      <c r="G37" s="75" t="str">
        <f t="shared" si="2"/>
        <v>이천만원 (\20,000,000원)</v>
      </c>
      <c r="H37" s="75" t="str">
        <f>VLOOKUP(B37,계약체결용!$B:$K,7,0)</f>
        <v>(주)조은파트너스</v>
      </c>
      <c r="I37" s="75" t="str">
        <f>VLOOKUP(B37,계약체결용!$B:$K,8,0)</f>
        <v>335-87-02787</v>
      </c>
      <c r="J37" s="75" t="str">
        <f>VLOOKUP(B37,계약체결용!$B:$K,9,0)</f>
        <v>최 현 수</v>
      </c>
      <c r="K37" s="75" t="str">
        <f>VLOOKUP(B37,계약체결용!$B:$K,10,0)</f>
        <v>충북 청주시 상당구 용암동 1587</v>
      </c>
      <c r="L37" s="126" t="s">
        <v>1535</v>
      </c>
      <c r="M37" s="126" t="s">
        <v>1536</v>
      </c>
      <c r="N37" s="75" t="str">
        <f t="shared" si="3"/>
        <v>2025년 4월 1일 ~ 2026년 3월 31일</v>
      </c>
      <c r="O37" s="75" t="s">
        <v>1560</v>
      </c>
    </row>
    <row r="38" spans="2:15" x14ac:dyDescent="0.45">
      <c r="B38" s="75" t="s">
        <v>1015</v>
      </c>
      <c r="C38" s="75" t="str">
        <f>VLOOKUP(B38,'2503기준유통망'!$B:$F,5,0)</f>
        <v>B/S-Shop</v>
      </c>
      <c r="D38" s="75" t="s">
        <v>791</v>
      </c>
      <c r="E38" s="75" t="s">
        <v>792</v>
      </c>
      <c r="F38" s="75" t="s">
        <v>793</v>
      </c>
      <c r="G38" s="75" t="str">
        <f t="shared" si="2"/>
        <v>이천만원 (\20,000,000원)</v>
      </c>
      <c r="H38" s="75" t="str">
        <f>VLOOKUP(B38,계약체결용!$B:$K,7,0)</f>
        <v>(주)일룸청주중앙점</v>
      </c>
      <c r="I38" s="75" t="str">
        <f>VLOOKUP(B38,계약체결용!$B:$K,8,0)</f>
        <v>785-86-00352</v>
      </c>
      <c r="J38" s="75" t="str">
        <f>VLOOKUP(B38,계약체결용!$B:$K,9,0)</f>
        <v>함 지 연</v>
      </c>
      <c r="K38" s="75" t="str">
        <f>VLOOKUP(B38,계약체결용!$B:$K,10,0)</f>
        <v>충북 청주시 흥덕구 강서로 55, 2층</v>
      </c>
      <c r="L38" s="126" t="s">
        <v>1535</v>
      </c>
      <c r="M38" s="126" t="s">
        <v>1536</v>
      </c>
      <c r="N38" s="75" t="str">
        <f t="shared" si="3"/>
        <v>2025년 4월 1일 ~ 2026년 3월 31일</v>
      </c>
      <c r="O38" s="75" t="s">
        <v>1020</v>
      </c>
    </row>
    <row r="39" spans="2:15" x14ac:dyDescent="0.45">
      <c r="B39" s="75" t="s">
        <v>1021</v>
      </c>
      <c r="C39" s="75" t="str">
        <f>VLOOKUP(B39,'2503기준유통망'!$B:$F,5,0)</f>
        <v>B/S-Shop</v>
      </c>
      <c r="D39" s="75" t="s">
        <v>791</v>
      </c>
      <c r="E39" s="75" t="s">
        <v>792</v>
      </c>
      <c r="F39" s="75" t="s">
        <v>793</v>
      </c>
      <c r="G39" s="75" t="str">
        <f t="shared" si="2"/>
        <v>이천만원 (\20,000,000원)</v>
      </c>
      <c r="H39" s="75" t="str">
        <f>VLOOKUP(B39,계약체결용!$B:$K,7,0)</f>
        <v>퍼시스춘천전시장</v>
      </c>
      <c r="I39" s="75" t="str">
        <f>VLOOKUP(B39,계약체결용!$B:$K,8,0)</f>
        <v>221-02-56686</v>
      </c>
      <c r="J39" s="75" t="str">
        <f>VLOOKUP(B39,계약체결용!$B:$K,9,0)</f>
        <v>이 신 구</v>
      </c>
      <c r="K39" s="75" t="str">
        <f>VLOOKUP(B39,계약체결용!$B:$K,10,0)</f>
        <v>강원 춘천시 동면 만천리 700번지</v>
      </c>
      <c r="L39" s="126" t="s">
        <v>1535</v>
      </c>
      <c r="M39" s="126" t="s">
        <v>1536</v>
      </c>
      <c r="N39" s="75" t="str">
        <f t="shared" si="3"/>
        <v>2025년 4월 1일 ~ 2026년 3월 31일</v>
      </c>
      <c r="O39" s="75" t="s">
        <v>1561</v>
      </c>
    </row>
    <row r="40" spans="2:15" x14ac:dyDescent="0.45">
      <c r="B40" s="80" t="s">
        <v>1027</v>
      </c>
      <c r="C40" s="75" t="str">
        <f>VLOOKUP(B40,'2503기준유통망'!$B:$F,5,0)</f>
        <v>B/S-Shop</v>
      </c>
      <c r="D40" s="75" t="s">
        <v>791</v>
      </c>
      <c r="E40" s="75" t="s">
        <v>792</v>
      </c>
      <c r="F40" s="75" t="s">
        <v>793</v>
      </c>
      <c r="G40" s="75" t="str">
        <f t="shared" si="2"/>
        <v>이천만원 (\20,000,000원)</v>
      </c>
      <c r="H40" s="75" t="str">
        <f>VLOOKUP(B40,계약체결용!$B:$K,7,0)</f>
        <v>(주)아이룸텍</v>
      </c>
      <c r="I40" s="75" t="str">
        <f>VLOOKUP(B40,계약체결용!$B:$K,8,0)</f>
        <v>778-87-02591</v>
      </c>
      <c r="J40" s="75" t="str">
        <f>VLOOKUP(B40,계약체결용!$B:$K,9,0)</f>
        <v>오 중 현</v>
      </c>
      <c r="K40" s="75" t="str">
        <f>VLOOKUP(B40,계약체결용!$B:$K,10,0)</f>
        <v>서울 중랑구 동일로 898</v>
      </c>
      <c r="L40" s="126" t="s">
        <v>1535</v>
      </c>
      <c r="M40" s="78" t="s">
        <v>1540</v>
      </c>
      <c r="N40" s="75" t="str">
        <f t="shared" si="3"/>
        <v>2025년 4월 1일 ~ 2025년 5월 31일</v>
      </c>
      <c r="O40" s="75" t="s">
        <v>1034</v>
      </c>
    </row>
    <row r="41" spans="2:15" x14ac:dyDescent="0.45">
      <c r="B41" s="96" t="s">
        <v>1041</v>
      </c>
      <c r="C41" s="75" t="str">
        <f>VLOOKUP(B41,'2503기준유통망'!$B:$F,5,0)</f>
        <v>B/S-Shop</v>
      </c>
      <c r="D41" s="75" t="s">
        <v>791</v>
      </c>
      <c r="E41" s="75" t="s">
        <v>792</v>
      </c>
      <c r="F41" s="75" t="s">
        <v>793</v>
      </c>
      <c r="G41" s="75" t="str">
        <f t="shared" si="2"/>
        <v>이천만원 (\20,000,000원)</v>
      </c>
      <c r="H41" s="75" t="str">
        <f>VLOOKUP(B41,계약체결용!$B:$K,7,0)</f>
        <v>일룸포항점</v>
      </c>
      <c r="I41" s="75" t="str">
        <f>VLOOKUP(B41,계약체결용!$B:$K,8,0)</f>
        <v>506-04-65571</v>
      </c>
      <c r="J41" s="75" t="str">
        <f>VLOOKUP(B41,계약체결용!$B:$K,9,0)</f>
        <v>김 미 경</v>
      </c>
      <c r="K41" s="75" t="str">
        <f>VLOOKUP(B41,계약체결용!$B:$K,10,0)</f>
        <v>경북 포항시 북구 환호로 75</v>
      </c>
      <c r="L41" s="126" t="s">
        <v>1545</v>
      </c>
      <c r="M41" s="78" t="s">
        <v>1536</v>
      </c>
      <c r="N41" s="75" t="str">
        <f t="shared" si="3"/>
        <v>2026년 1월 1일 ~ 2026년 3월 31일</v>
      </c>
      <c r="O41" s="75" t="s">
        <v>1046</v>
      </c>
    </row>
    <row r="42" spans="2:15" x14ac:dyDescent="0.45">
      <c r="B42" s="96" t="s">
        <v>1073</v>
      </c>
      <c r="C42" s="75" t="str">
        <f>VLOOKUP(B42,'2503기준유통망'!$B:$F,5,0)</f>
        <v>투자형 B-Shop (로드)</v>
      </c>
      <c r="D42" s="76" t="s">
        <v>791</v>
      </c>
      <c r="E42" s="75" t="s">
        <v>792</v>
      </c>
      <c r="F42" s="75" t="s">
        <v>793</v>
      </c>
      <c r="G42" s="75" t="str">
        <f t="shared" si="2"/>
        <v>이천만원 (\20,000,000원)</v>
      </c>
      <c r="H42" s="75" t="str">
        <f>VLOOKUP(B42,계약체결용!$B:$K,7,0)</f>
        <v>일룸 광천점</v>
      </c>
      <c r="I42" s="75" t="str">
        <f>VLOOKUP(B42,계약체결용!$B:$K,8,0)</f>
        <v>410-03-23351</v>
      </c>
      <c r="J42" s="75" t="str">
        <f>VLOOKUP(B42,계약체결용!$B:$K,9,0)</f>
        <v>조 평 호</v>
      </c>
      <c r="K42" s="75" t="str">
        <f>VLOOKUP(B42,계약체결용!$B:$K,10,0)</f>
        <v>광주광역시 서구 무진대로 956(농성동, 퍼시스광주센터)</v>
      </c>
      <c r="L42" s="126" t="s">
        <v>1545</v>
      </c>
      <c r="M42" s="78" t="s">
        <v>1536</v>
      </c>
      <c r="N42" s="75" t="str">
        <f t="shared" si="3"/>
        <v>2026년 1월 1일 ~ 2026년 3월 31일</v>
      </c>
      <c r="O42" s="75" t="s">
        <v>862</v>
      </c>
    </row>
    <row r="43" spans="2:15" x14ac:dyDescent="0.45">
      <c r="B43" s="75" t="s">
        <v>1047</v>
      </c>
      <c r="C43" s="75" t="str">
        <f>VLOOKUP(B43,'2503기준유통망'!$B:$F,5,0)</f>
        <v>B/S-Shop</v>
      </c>
      <c r="D43" s="75" t="s">
        <v>791</v>
      </c>
      <c r="E43" s="75" t="s">
        <v>792</v>
      </c>
      <c r="F43" s="75" t="s">
        <v>793</v>
      </c>
      <c r="G43" s="75" t="str">
        <f t="shared" si="2"/>
        <v>이천만원 (\20,000,000원)</v>
      </c>
      <c r="H43" s="75" t="str">
        <f>VLOOKUP(B43,계약체결용!$B:$K,7,0)</f>
        <v>일룸포항중앙점</v>
      </c>
      <c r="I43" s="75" t="str">
        <f>VLOOKUP(B43,계약체결용!$B:$K,8,0)</f>
        <v>506-14-15162</v>
      </c>
      <c r="J43" s="75" t="str">
        <f>VLOOKUP(B43,계약체결용!$B:$K,9,0)</f>
        <v>신 현 정</v>
      </c>
      <c r="K43" s="75" t="str">
        <f>VLOOKUP(B43,계약체결용!$B:$K,10,0)</f>
        <v>경북 포항시 북구 중흥로213번길 49</v>
      </c>
      <c r="L43" s="126" t="s">
        <v>1535</v>
      </c>
      <c r="M43" s="126" t="s">
        <v>1536</v>
      </c>
      <c r="N43" s="75" t="str">
        <f t="shared" si="3"/>
        <v>2025년 4월 1일 ~ 2026년 3월 31일</v>
      </c>
      <c r="O43" s="75" t="s">
        <v>1052</v>
      </c>
    </row>
    <row r="44" spans="2:15" x14ac:dyDescent="0.45">
      <c r="B44" s="75" t="s">
        <v>1053</v>
      </c>
      <c r="C44" s="75" t="str">
        <f>VLOOKUP(B44,'2503기준유통망'!$B:$F,5,0)</f>
        <v>B/S-Shop</v>
      </c>
      <c r="D44" s="75" t="s">
        <v>791</v>
      </c>
      <c r="E44" s="75" t="s">
        <v>792</v>
      </c>
      <c r="F44" s="75" t="s">
        <v>793</v>
      </c>
      <c r="G44" s="75" t="str">
        <f t="shared" si="2"/>
        <v>이천만원 (\20,000,000원)</v>
      </c>
      <c r="H44" s="75" t="str">
        <f>VLOOKUP(B44,계약체결용!$B:$K,7,0)</f>
        <v>일룸부산하단점</v>
      </c>
      <c r="I44" s="75" t="str">
        <f>VLOOKUP(B44,계약체결용!$B:$K,8,0)</f>
        <v>617-29-91066</v>
      </c>
      <c r="J44" s="75" t="str">
        <f>VLOOKUP(B44,계약체결용!$B:$K,9,0)</f>
        <v>우 영 숙</v>
      </c>
      <c r="K44" s="75" t="str">
        <f>VLOOKUP(B44,계약체결용!$B:$K,10,0)</f>
        <v>부산광역시 사하구 낙동남로 1359 (하단동)</v>
      </c>
      <c r="L44" s="126" t="s">
        <v>1535</v>
      </c>
      <c r="M44" s="126" t="s">
        <v>1536</v>
      </c>
      <c r="N44" s="75" t="str">
        <f t="shared" si="3"/>
        <v>2025년 4월 1일 ~ 2026년 3월 31일</v>
      </c>
      <c r="O44" s="75" t="s">
        <v>1562</v>
      </c>
    </row>
    <row r="45" spans="2:15" x14ac:dyDescent="0.45">
      <c r="B45" s="96" t="s">
        <v>1172</v>
      </c>
      <c r="C45" s="75" t="str">
        <f>VLOOKUP(B45,'2503기준유통망'!$B:$F,5,0)</f>
        <v>투자형 B-Shop (입점)</v>
      </c>
      <c r="D45" s="76" t="s">
        <v>815</v>
      </c>
      <c r="E45" s="75" t="s">
        <v>792</v>
      </c>
      <c r="F45" s="75" t="s">
        <v>793</v>
      </c>
      <c r="G45" s="75" t="str">
        <f t="shared" si="2"/>
        <v>이천만원 (\20,000,000원)</v>
      </c>
      <c r="H45" s="75" t="str">
        <f>VLOOKUP(B45,계약체결용!$B:$K,7,0)</f>
        <v>토호드</v>
      </c>
      <c r="I45" s="75" t="str">
        <f>VLOOKUP(B45,계약체결용!$B:$K,8,0)</f>
        <v>837-15-00255</v>
      </c>
      <c r="J45" s="75" t="str">
        <f>VLOOKUP(B45,계약체결용!$B:$K,9,0)</f>
        <v>안 중 협</v>
      </c>
      <c r="K45" s="75" t="str">
        <f>VLOOKUP(B45,계약체결용!$B:$K,10,0)</f>
        <v>경기도 고양시 일산동구 월드고양로 102-33, 2층</v>
      </c>
      <c r="L45" s="126" t="s">
        <v>1545</v>
      </c>
      <c r="M45" s="78" t="s">
        <v>1563</v>
      </c>
      <c r="N45" s="75" t="str">
        <f t="shared" si="3"/>
        <v>2026년 1월 1일 ~ 2026년 2월 28일</v>
      </c>
      <c r="O45" s="75" t="s">
        <v>1564</v>
      </c>
    </row>
    <row r="46" spans="2:15" x14ac:dyDescent="0.45">
      <c r="B46" s="80" t="s">
        <v>1035</v>
      </c>
      <c r="C46" s="75" t="str">
        <f>VLOOKUP(B46,'2503기준유통망'!$B:$F,5,0)</f>
        <v>B/S-Shop</v>
      </c>
      <c r="D46" s="75" t="s">
        <v>791</v>
      </c>
      <c r="E46" s="75" t="s">
        <v>792</v>
      </c>
      <c r="F46" s="75" t="s">
        <v>793</v>
      </c>
      <c r="G46" s="75" t="str">
        <f t="shared" si="2"/>
        <v>이천만원 (\20,000,000원)</v>
      </c>
      <c r="H46" s="75" t="str">
        <f>VLOOKUP(B46,계약체결용!$B:$K,7,0)</f>
        <v>코티지</v>
      </c>
      <c r="I46" s="75" t="str">
        <f>VLOOKUP(B46,계약체결용!$B:$K,8,0)</f>
        <v>120-87-13514</v>
      </c>
      <c r="J46" s="75" t="str">
        <f>VLOOKUP(B46,계약체결용!$B:$K,9,0)</f>
        <v>김 은 미</v>
      </c>
      <c r="K46" s="75" t="str">
        <f>VLOOKUP(B46,계약체결용!$B:$K,10,0)</f>
        <v>경기 안성시 공도읍 서동대로 3924, 102호</v>
      </c>
      <c r="L46" s="126" t="s">
        <v>1535</v>
      </c>
      <c r="M46" s="78" t="s">
        <v>1565</v>
      </c>
      <c r="N46" s="75" t="str">
        <f t="shared" si="3"/>
        <v>2025년 4월 1일 ~ 2026년 1월 25일</v>
      </c>
      <c r="O46" s="75" t="s">
        <v>1040</v>
      </c>
    </row>
    <row r="47" spans="2:15" x14ac:dyDescent="0.45">
      <c r="B47" s="96" t="s">
        <v>1197</v>
      </c>
      <c r="C47" s="75" t="str">
        <f>VLOOKUP(B47,'2503기준유통망'!$B:$F,5,0)</f>
        <v>b/s-shop (입점)</v>
      </c>
      <c r="D47" s="75" t="s">
        <v>791</v>
      </c>
      <c r="E47" s="75" t="s">
        <v>792</v>
      </c>
      <c r="F47" s="75" t="s">
        <v>793</v>
      </c>
      <c r="G47" s="75" t="str">
        <f t="shared" si="2"/>
        <v>이천만원 (\20,000,000원)</v>
      </c>
      <c r="H47" s="77" t="s">
        <v>1566</v>
      </c>
      <c r="I47" s="77" t="s">
        <v>915</v>
      </c>
      <c r="J47" s="77" t="s">
        <v>916</v>
      </c>
      <c r="K47" s="77" t="s">
        <v>1567</v>
      </c>
      <c r="L47" s="126" t="s">
        <v>1545</v>
      </c>
      <c r="M47" s="78" t="s">
        <v>1536</v>
      </c>
      <c r="N47" s="75" t="str">
        <f t="shared" si="3"/>
        <v>2026년 1월 1일 ~ 2026년 3월 31일</v>
      </c>
      <c r="O47" s="77" t="s">
        <v>918</v>
      </c>
    </row>
    <row r="48" spans="2:15" x14ac:dyDescent="0.45">
      <c r="B48" s="75" t="s">
        <v>1204</v>
      </c>
      <c r="C48" s="75" t="str">
        <f>VLOOKUP(B48,'2503기준유통망'!$B:$F,5,0)</f>
        <v>b/s-shop (입점)</v>
      </c>
      <c r="D48" s="75" t="s">
        <v>791</v>
      </c>
      <c r="E48" s="75" t="s">
        <v>792</v>
      </c>
      <c r="F48" s="75" t="s">
        <v>793</v>
      </c>
      <c r="G48" s="75" t="str">
        <f t="shared" si="2"/>
        <v>이천만원 (\20,000,000원)</v>
      </c>
      <c r="H48" s="77" t="s">
        <v>1568</v>
      </c>
      <c r="I48" s="77" t="s">
        <v>1569</v>
      </c>
      <c r="J48" s="77" t="s">
        <v>1570</v>
      </c>
      <c r="K48" s="77" t="s">
        <v>1571</v>
      </c>
      <c r="L48" s="126" t="s">
        <v>1535</v>
      </c>
      <c r="M48" s="78" t="s">
        <v>1572</v>
      </c>
      <c r="N48" s="75" t="str">
        <f t="shared" si="3"/>
        <v>2025년 4월 1일 ~ 2025년 4월 30일</v>
      </c>
      <c r="O48" s="77" t="s">
        <v>1573</v>
      </c>
    </row>
    <row r="49" spans="2:15" x14ac:dyDescent="0.45">
      <c r="B49" s="75" t="s">
        <v>1202</v>
      </c>
      <c r="C49" s="75" t="str">
        <f>VLOOKUP(B49,'2503기준유통망'!$B:$F,5,0)</f>
        <v>b/s-shop (입점)</v>
      </c>
      <c r="D49" s="75" t="s">
        <v>791</v>
      </c>
      <c r="E49" s="75" t="s">
        <v>792</v>
      </c>
      <c r="F49" s="75" t="s">
        <v>793</v>
      </c>
      <c r="G49" s="75" t="str">
        <f t="shared" si="2"/>
        <v>이천만원 (\20,000,000원)</v>
      </c>
      <c r="H49" s="77" t="s">
        <v>1574</v>
      </c>
      <c r="I49" s="77" t="s">
        <v>1575</v>
      </c>
      <c r="J49" s="77" t="s">
        <v>1095</v>
      </c>
      <c r="K49" s="77" t="s">
        <v>1576</v>
      </c>
      <c r="L49" s="97" t="s">
        <v>1577</v>
      </c>
      <c r="M49" s="97" t="s">
        <v>1536</v>
      </c>
      <c r="N49" s="75" t="str">
        <f t="shared" si="3"/>
        <v>2026년 2월 1일 ~ 2026년 3월 31일</v>
      </c>
      <c r="O49" s="77" t="s">
        <v>1578</v>
      </c>
    </row>
    <row r="50" spans="2:15" x14ac:dyDescent="0.45">
      <c r="B50" s="75" t="s">
        <v>1198</v>
      </c>
      <c r="C50" s="75" t="str">
        <f>VLOOKUP(B50,'2503기준유통망'!$B:$F,5,0)</f>
        <v>b/s-shop (입점)</v>
      </c>
      <c r="D50" s="75" t="s">
        <v>791</v>
      </c>
      <c r="E50" s="75" t="s">
        <v>792</v>
      </c>
      <c r="F50" s="75" t="s">
        <v>793</v>
      </c>
      <c r="G50" s="75" t="str">
        <f t="shared" si="2"/>
        <v>이천만원 (\20,000,000원)</v>
      </c>
      <c r="H50" s="77" t="s">
        <v>962</v>
      </c>
      <c r="I50" s="77" t="s">
        <v>963</v>
      </c>
      <c r="J50" s="77" t="s">
        <v>964</v>
      </c>
      <c r="K50" s="77" t="s">
        <v>965</v>
      </c>
      <c r="L50" s="126" t="s">
        <v>1535</v>
      </c>
      <c r="M50" s="78" t="s">
        <v>1572</v>
      </c>
      <c r="N50" s="75" t="str">
        <f t="shared" si="3"/>
        <v>2025년 4월 1일 ~ 2025년 4월 30일</v>
      </c>
      <c r="O50" s="77" t="s">
        <v>1557</v>
      </c>
    </row>
    <row r="51" spans="2:15" x14ac:dyDescent="0.45">
      <c r="B51" s="75" t="s">
        <v>1135</v>
      </c>
      <c r="C51" s="75" t="str">
        <f>VLOOKUP(B51,'2503기준유통망'!$B:$F,5,0)</f>
        <v>b/s-shop (입점)</v>
      </c>
      <c r="D51" s="75" t="s">
        <v>791</v>
      </c>
      <c r="E51" s="75" t="s">
        <v>792</v>
      </c>
      <c r="F51" s="75" t="s">
        <v>793</v>
      </c>
      <c r="G51" s="75" t="str">
        <f t="shared" si="2"/>
        <v>이천만원 (\20,000,000원)</v>
      </c>
      <c r="H51" s="75" t="str">
        <f>VLOOKUP(B51,계약체결용!$B:$K,7,0)</f>
        <v>일룸 롯데동탄점</v>
      </c>
      <c r="I51" s="75" t="str">
        <f>VLOOKUP(B51,계약체결용!$B:$K,8,0)</f>
        <v>836-07-02556</v>
      </c>
      <c r="J51" s="75" t="str">
        <f>VLOOKUP(B51,계약체결용!$B:$K,9,0)</f>
        <v>박 철 홍</v>
      </c>
      <c r="K51" s="75" t="str">
        <f>VLOOKUP(B51,계약체결용!$B:$K,10,0)</f>
        <v>경기도 화성시 동탄역로 160, 4층(오산동, 롯데백화점)</v>
      </c>
      <c r="L51" s="97" t="s">
        <v>1577</v>
      </c>
      <c r="M51" s="97" t="s">
        <v>1536</v>
      </c>
      <c r="N51" s="75" t="str">
        <f t="shared" si="3"/>
        <v>2026년 2월 1일 ~ 2026년 3월 31일</v>
      </c>
      <c r="O51" s="75" t="s">
        <v>1128</v>
      </c>
    </row>
    <row r="52" spans="2:15" x14ac:dyDescent="0.45">
      <c r="B52" s="75" t="s">
        <v>1059</v>
      </c>
      <c r="C52" s="75" t="str">
        <f>VLOOKUP(B52,'2503기준유통망'!$B:$F,5,0)</f>
        <v>투자형 B-Shop (로드)</v>
      </c>
      <c r="D52" s="75" t="s">
        <v>791</v>
      </c>
      <c r="E52" s="75" t="s">
        <v>792</v>
      </c>
      <c r="F52" s="75" t="s">
        <v>793</v>
      </c>
      <c r="G52" s="75" t="str">
        <f t="shared" si="2"/>
        <v>이천만원 (\20,000,000원)</v>
      </c>
      <c r="H52" s="75" t="s">
        <v>1579</v>
      </c>
      <c r="I52" s="75" t="str">
        <f>VLOOKUP(B52,계약체결용!$B:$K,8,0)</f>
        <v>493-27-00631</v>
      </c>
      <c r="J52" s="75" t="str">
        <f>VLOOKUP(B52,계약체결용!$B:$K,9,0)</f>
        <v>구 현 정</v>
      </c>
      <c r="K52" s="75" t="s">
        <v>1580</v>
      </c>
      <c r="L52" s="126" t="s">
        <v>1535</v>
      </c>
      <c r="M52" s="78" t="s">
        <v>1581</v>
      </c>
      <c r="N52" s="75" t="str">
        <f t="shared" si="3"/>
        <v>2025년 4월 1일 ~ 2025년 10월 31일</v>
      </c>
      <c r="O52" s="75" t="s">
        <v>1582</v>
      </c>
    </row>
    <row r="53" spans="2:15" x14ac:dyDescent="0.45">
      <c r="B53" s="75" t="s">
        <v>1066</v>
      </c>
      <c r="C53" s="75" t="str">
        <f>VLOOKUP(B53,'2503기준유통망'!$B:$F,5,0)</f>
        <v>투자형 B-Shop (로드)</v>
      </c>
      <c r="D53" s="75" t="s">
        <v>791</v>
      </c>
      <c r="E53" s="75" t="s">
        <v>792</v>
      </c>
      <c r="F53" s="75" t="s">
        <v>793</v>
      </c>
      <c r="G53" s="75" t="str">
        <f t="shared" si="2"/>
        <v>이천만원 (\20,000,000원)</v>
      </c>
      <c r="H53" s="75" t="str">
        <f>VLOOKUP(B53,계약체결용!$B:$K,7,0)</f>
        <v>(주)창원퍼시스</v>
      </c>
      <c r="I53" s="75" t="str">
        <f>VLOOKUP(B53,계약체결용!$B:$K,8,0)</f>
        <v>609-81-43386</v>
      </c>
      <c r="J53" s="75" t="str">
        <f>VLOOKUP(B53,계약체결용!$B:$K,9,0)</f>
        <v>정 진 환</v>
      </c>
      <c r="K53" s="75" t="str">
        <f>VLOOKUP(B53,계약체결용!$B:$K,10,0)</f>
        <v>경상남도 창원시 의창구 창원대로 360</v>
      </c>
      <c r="L53" s="126" t="s">
        <v>1535</v>
      </c>
      <c r="M53" s="78" t="s">
        <v>1583</v>
      </c>
      <c r="N53" s="75" t="str">
        <f t="shared" si="3"/>
        <v>2025년 4월 1일 ~ 2025년 8월 20일</v>
      </c>
      <c r="O53" s="75" t="s">
        <v>1558</v>
      </c>
    </row>
    <row r="54" spans="2:15" x14ac:dyDescent="0.45">
      <c r="B54" s="75" t="s">
        <v>1067</v>
      </c>
      <c r="C54" s="75" t="str">
        <f>VLOOKUP(B54,'2503기준유통망'!$B:$F,5,0)</f>
        <v>투자형 B-Shop (로드)</v>
      </c>
      <c r="D54" s="75" t="s">
        <v>791</v>
      </c>
      <c r="E54" s="75" t="s">
        <v>792</v>
      </c>
      <c r="F54" s="75" t="s">
        <v>793</v>
      </c>
      <c r="G54" s="75" t="str">
        <f t="shared" si="2"/>
        <v>이천만원 (\20,000,000원)</v>
      </c>
      <c r="H54" s="75" t="str">
        <f>VLOOKUP(B54,계약체결용!$B:$K,7,0)</f>
        <v>일룸강동점</v>
      </c>
      <c r="I54" s="75" t="str">
        <f>VLOOKUP(B54,계약체결용!$B:$K,8,0)</f>
        <v>633-29-00529</v>
      </c>
      <c r="J54" s="75" t="str">
        <f>VLOOKUP(B54,계약체결용!$B:$K,9,0)</f>
        <v>장 규 호</v>
      </c>
      <c r="K54" s="75" t="str">
        <f>VLOOKUP(B54,계약체결용!$B:$K,10,0)</f>
        <v>서울 강동구 천호대로 1136</v>
      </c>
      <c r="L54" s="126" t="s">
        <v>1535</v>
      </c>
      <c r="M54" s="78" t="s">
        <v>1540</v>
      </c>
      <c r="N54" s="75" t="str">
        <f t="shared" si="3"/>
        <v>2025년 4월 1일 ~ 2025년 5월 31일</v>
      </c>
      <c r="O54" s="75" t="s">
        <v>1584</v>
      </c>
    </row>
    <row r="55" spans="2:15" x14ac:dyDescent="0.45">
      <c r="B55" s="75" t="s">
        <v>1187</v>
      </c>
      <c r="C55" s="75" t="str">
        <f>VLOOKUP(B55,'2503기준유통망'!$B:$F,5,0)</f>
        <v>b/s-shop (입점)</v>
      </c>
      <c r="D55" s="75" t="s">
        <v>791</v>
      </c>
      <c r="E55" s="75" t="s">
        <v>792</v>
      </c>
      <c r="F55" s="75" t="s">
        <v>793</v>
      </c>
      <c r="G55" s="75" t="str">
        <f t="shared" si="2"/>
        <v>이천만원 (\20,000,000원)</v>
      </c>
      <c r="H55" s="77" t="s">
        <v>1585</v>
      </c>
      <c r="I55" s="77" t="s">
        <v>1029</v>
      </c>
      <c r="J55" s="77" t="s">
        <v>1030</v>
      </c>
      <c r="K55" s="77" t="s">
        <v>1031</v>
      </c>
      <c r="L55" s="97" t="s">
        <v>1577</v>
      </c>
      <c r="M55" s="97" t="s">
        <v>1536</v>
      </c>
      <c r="N55" s="75" t="str">
        <f t="shared" si="3"/>
        <v>2026년 2월 1일 ~ 2026년 3월 31일</v>
      </c>
      <c r="O55" s="77" t="s">
        <v>1034</v>
      </c>
    </row>
    <row r="56" spans="2:15" x14ac:dyDescent="0.45">
      <c r="B56" s="75" t="s">
        <v>1080</v>
      </c>
      <c r="C56" s="75" t="str">
        <f>VLOOKUP(B56,'2503기준유통망'!$B:$F,5,0)</f>
        <v>투자형 B-Shop (로드)</v>
      </c>
      <c r="D56" s="75" t="s">
        <v>791</v>
      </c>
      <c r="E56" s="75" t="s">
        <v>792</v>
      </c>
      <c r="F56" s="75" t="s">
        <v>793</v>
      </c>
      <c r="G56" s="75" t="str">
        <f t="shared" si="2"/>
        <v>이천만원 (\20,000,000원)</v>
      </c>
      <c r="H56" s="75" t="str">
        <f>VLOOKUP(B56,계약체결용!$B:$K,7,0)</f>
        <v>일룸 도안3점</v>
      </c>
      <c r="I56" s="75" t="str">
        <f>VLOOKUP(B56,계약체결용!$B:$K,8,0)</f>
        <v>314-27-63783</v>
      </c>
      <c r="J56" s="75" t="str">
        <f>VLOOKUP(B56,계약체결용!$B:$K,9,0)</f>
        <v>류 대 열</v>
      </c>
      <c r="K56" s="75" t="str">
        <f>VLOOKUP(B56,계약체결용!$B:$K,10,0)</f>
        <v>대전 서구 가수원동 1061 리더스프라자 B동 2~3층</v>
      </c>
      <c r="L56" s="126" t="s">
        <v>1535</v>
      </c>
      <c r="M56" s="126" t="s">
        <v>1536</v>
      </c>
      <c r="N56" s="75" t="str">
        <f t="shared" si="3"/>
        <v>2025년 4월 1일 ~ 2026년 3월 31일</v>
      </c>
      <c r="O56" s="75" t="s">
        <v>1586</v>
      </c>
    </row>
    <row r="57" spans="2:15" x14ac:dyDescent="0.45">
      <c r="B57" s="75" t="s">
        <v>1086</v>
      </c>
      <c r="C57" s="75" t="str">
        <f>VLOOKUP(B57,'2503기준유통망'!$B:$F,5,0)</f>
        <v>투자형 B-Shop (로드)</v>
      </c>
      <c r="D57" s="76" t="s">
        <v>791</v>
      </c>
      <c r="E57" s="75" t="s">
        <v>792</v>
      </c>
      <c r="F57" s="75" t="s">
        <v>793</v>
      </c>
      <c r="G57" s="75" t="str">
        <f t="shared" si="2"/>
        <v>이천만원 (\20,000,000원)</v>
      </c>
      <c r="H57" s="75" t="str">
        <f>VLOOKUP(B57,계약체결용!$B:$K,7,0)</f>
        <v>일룸 안양점</v>
      </c>
      <c r="I57" s="75" t="str">
        <f>VLOOKUP(B57,계약체결용!$B:$K,8,0)</f>
        <v>334-37-00928</v>
      </c>
      <c r="J57" s="75" t="str">
        <f>VLOOKUP(B57,계약체결용!$B:$K,9,0)</f>
        <v>윤 기 언</v>
      </c>
      <c r="K57" s="75" t="str">
        <f>VLOOKUP(B57,계약체결용!$B:$K,10,0)</f>
        <v>경기도 안양시 만안구 안양로 238</v>
      </c>
      <c r="L57" s="126" t="s">
        <v>1535</v>
      </c>
      <c r="M57" s="126" t="s">
        <v>1536</v>
      </c>
      <c r="N57" s="75" t="str">
        <f t="shared" si="3"/>
        <v>2025년 4월 1일 ~ 2026년 3월 31일</v>
      </c>
      <c r="O57" s="75" t="s">
        <v>1091</v>
      </c>
    </row>
    <row r="58" spans="2:15" x14ac:dyDescent="0.45">
      <c r="B58" s="75" t="s">
        <v>1092</v>
      </c>
      <c r="C58" s="75" t="str">
        <f>VLOOKUP(B58,'2503기준유통망'!$B:$F,5,0)</f>
        <v>투자형 B-Shop (로드)</v>
      </c>
      <c r="D58" s="75" t="s">
        <v>791</v>
      </c>
      <c r="E58" s="75" t="s">
        <v>792</v>
      </c>
      <c r="F58" s="75" t="s">
        <v>793</v>
      </c>
      <c r="G58" s="75" t="str">
        <f t="shared" si="2"/>
        <v>이천만원 (\20,000,000원)</v>
      </c>
      <c r="H58" s="75" t="str">
        <f>VLOOKUP(B58,계약체결용!$B:$K,7,0)</f>
        <v>일룸 울산점</v>
      </c>
      <c r="I58" s="75" t="str">
        <f>VLOOKUP(B58,계약체결용!$B:$K,8,0)</f>
        <v>301-45-04477</v>
      </c>
      <c r="J58" s="75" t="str">
        <f>VLOOKUP(B58,계약체결용!$B:$K,9,0)</f>
        <v>조 정 혁</v>
      </c>
      <c r="K58" s="75" t="str">
        <f>VLOOKUP(B58,계약체결용!$B:$K,10,0)</f>
        <v>울산 남구 삼산로 361</v>
      </c>
      <c r="L58" s="126" t="s">
        <v>1535</v>
      </c>
      <c r="M58" s="126" t="s">
        <v>1536</v>
      </c>
      <c r="N58" s="75" t="str">
        <f t="shared" si="3"/>
        <v>2025년 4월 1일 ~ 2026년 3월 31일</v>
      </c>
      <c r="O58" s="75" t="s">
        <v>1097</v>
      </c>
    </row>
    <row r="59" spans="2:15" x14ac:dyDescent="0.45">
      <c r="B59" s="75" t="s">
        <v>1098</v>
      </c>
      <c r="C59" s="75" t="str">
        <f>VLOOKUP(B59,'2503기준유통망'!$B:$F,5,0)</f>
        <v>투자형 B-Shop (로드)</v>
      </c>
      <c r="D59" s="76" t="s">
        <v>815</v>
      </c>
      <c r="E59" s="75" t="s">
        <v>792</v>
      </c>
      <c r="F59" s="75" t="s">
        <v>793</v>
      </c>
      <c r="G59" s="75" t="str">
        <f t="shared" si="2"/>
        <v>이천만원 (\20,000,000원)</v>
      </c>
      <c r="H59" s="75" t="str">
        <f>VLOOKUP(B59,계약체결용!$B:$K,7,0)</f>
        <v>일룸 인천 검단점</v>
      </c>
      <c r="I59" s="75" t="str">
        <f>VLOOKUP(B59,계약체결용!$B:$K,8,0)</f>
        <v>872-03-02670</v>
      </c>
      <c r="J59" s="75" t="str">
        <f>VLOOKUP(B59,계약체결용!$B:$K,9,0)</f>
        <v>유 종 규</v>
      </c>
      <c r="K59" s="75" t="str">
        <f>VLOOKUP(B59,계약체결용!$B:$K,10,0)</f>
        <v>인천 서구 원당대로 847, 4층</v>
      </c>
      <c r="L59" s="126" t="s">
        <v>1535</v>
      </c>
      <c r="M59" s="126" t="s">
        <v>1536</v>
      </c>
      <c r="N59" s="75" t="str">
        <f t="shared" si="3"/>
        <v>2025년 4월 1일 ~ 2026년 3월 31일</v>
      </c>
      <c r="O59" s="75" t="s">
        <v>1103</v>
      </c>
    </row>
    <row r="60" spans="2:15" x14ac:dyDescent="0.45">
      <c r="B60" s="75" t="s">
        <v>1104</v>
      </c>
      <c r="C60" s="75" t="str">
        <f>VLOOKUP(B60,'2503기준유통망'!$B:$F,5,0)</f>
        <v>투자형 B-Shop (로드)</v>
      </c>
      <c r="D60" s="75" t="s">
        <v>791</v>
      </c>
      <c r="E60" s="75" t="s">
        <v>792</v>
      </c>
      <c r="F60" s="75" t="s">
        <v>793</v>
      </c>
      <c r="G60" s="75" t="str">
        <f t="shared" si="2"/>
        <v>이천만원 (\20,000,000원)</v>
      </c>
      <c r="H60" s="75" t="str">
        <f>VLOOKUP(B60,계약체결용!$B:$K,7,0)</f>
        <v>주식회사 일룸앤데스커</v>
      </c>
      <c r="I60" s="75" t="str">
        <f>VLOOKUP(B60,계약체결용!$B:$K,8,0)</f>
        <v>408-88-02821</v>
      </c>
      <c r="J60" s="75" t="str">
        <f>VLOOKUP(B60,계약체결용!$B:$K,9,0)</f>
        <v>조 평 호</v>
      </c>
      <c r="K60" s="75" t="str">
        <f>VLOOKUP(B60,계약체결용!$B:$K,10,0)</f>
        <v>광주광역시 남구 봉선로 16 (주월동) 1층</v>
      </c>
      <c r="L60" s="126" t="s">
        <v>1535</v>
      </c>
      <c r="M60" s="126" t="s">
        <v>1536</v>
      </c>
      <c r="N60" s="75" t="str">
        <f t="shared" si="3"/>
        <v>2025년 4월 1일 ~ 2026년 3월 31일</v>
      </c>
      <c r="O60" s="75" t="s">
        <v>862</v>
      </c>
    </row>
    <row r="61" spans="2:15" x14ac:dyDescent="0.45">
      <c r="B61" s="75" t="s">
        <v>1105</v>
      </c>
      <c r="C61" s="75" t="str">
        <f>VLOOKUP(B61,'2503기준유통망'!$B:$F,5,0)</f>
        <v>투자형 B-Shop (로드)</v>
      </c>
      <c r="D61" s="75" t="s">
        <v>791</v>
      </c>
      <c r="E61" s="75" t="s">
        <v>792</v>
      </c>
      <c r="F61" s="75" t="s">
        <v>793</v>
      </c>
      <c r="G61" s="75" t="str">
        <f t="shared" si="2"/>
        <v>이천만원 (\20,000,000원)</v>
      </c>
      <c r="H61" s="75" t="str">
        <f>VLOOKUP(B61,계약체결용!$B:$K,7,0)</f>
        <v>일룸천안신방점</v>
      </c>
      <c r="I61" s="75" t="str">
        <f>VLOOKUP(B61,계약체결용!$B:$K,8,0)</f>
        <v>312-20-61970</v>
      </c>
      <c r="J61" s="75" t="str">
        <f>VLOOKUP(B61,계약체결용!$B:$K,9,0)</f>
        <v>이 준 범</v>
      </c>
      <c r="K61" s="75" t="str">
        <f>VLOOKUP(B61,계약체결용!$B:$K,10,0)</f>
        <v>충남 천안시 동남구 신촌로 6, 2층</v>
      </c>
      <c r="L61" s="126" t="s">
        <v>1535</v>
      </c>
      <c r="M61" s="126" t="s">
        <v>1536</v>
      </c>
      <c r="N61" s="75" t="str">
        <f t="shared" si="3"/>
        <v>2025년 4월 1일 ~ 2026년 3월 31일</v>
      </c>
      <c r="O61" s="75" t="s">
        <v>1110</v>
      </c>
    </row>
    <row r="62" spans="2:15" x14ac:dyDescent="0.45">
      <c r="B62" s="75" t="s">
        <v>1115</v>
      </c>
      <c r="C62" s="75" t="str">
        <f>VLOOKUP(B62,'2503기준유통망'!$B:$F,5,0)</f>
        <v>투자형 B-Shop (입점)</v>
      </c>
      <c r="D62" s="75" t="s">
        <v>791</v>
      </c>
      <c r="E62" s="75" t="s">
        <v>792</v>
      </c>
      <c r="F62" s="75" t="s">
        <v>793</v>
      </c>
      <c r="G62" s="75" t="str">
        <f t="shared" si="2"/>
        <v>이천만원 (\20,000,000원)</v>
      </c>
      <c r="H62" s="75" t="str">
        <f>VLOOKUP(B62,계약체결용!$B:$K,7,0)</f>
        <v>일룸 기흥점</v>
      </c>
      <c r="I62" s="75" t="str">
        <f>VLOOKUP(B62,계약체결용!$B:$K,8,0)</f>
        <v>213-26-00566</v>
      </c>
      <c r="J62" s="75" t="str">
        <f>VLOOKUP(B62,계약체결용!$B:$K,9,0)</f>
        <v>호 현 숙</v>
      </c>
      <c r="K62" s="75" t="str">
        <f>VLOOKUP(B62,계약체결용!$B:$K,10,0)</f>
        <v>경기 용인시 기흥구 신고매로 59 리빙파워센터 B2</v>
      </c>
      <c r="L62" s="126" t="s">
        <v>1535</v>
      </c>
      <c r="M62" s="78" t="s">
        <v>1536</v>
      </c>
      <c r="N62" s="75" t="str">
        <f t="shared" si="3"/>
        <v>2025년 4월 1일 ~ 2026년 3월 31일</v>
      </c>
      <c r="O62" s="75" t="s">
        <v>1120</v>
      </c>
    </row>
    <row r="63" spans="2:15" x14ac:dyDescent="0.45">
      <c r="B63" s="75" t="s">
        <v>1121</v>
      </c>
      <c r="C63" s="75" t="str">
        <f>VLOOKUP(B63,'2503기준유통망'!$B:$F,5,0)</f>
        <v>투자형 B-Shop (입점)</v>
      </c>
      <c r="D63" s="75" t="s">
        <v>791</v>
      </c>
      <c r="E63" s="75" t="s">
        <v>792</v>
      </c>
      <c r="F63" s="75" t="s">
        <v>793</v>
      </c>
      <c r="G63" s="75" t="str">
        <f t="shared" si="2"/>
        <v>이천만원 (\20,000,000원)</v>
      </c>
      <c r="H63" s="75" t="str">
        <f>VLOOKUP(B63,계약체결용!$B:$K,7,0)</f>
        <v>일룸 롯데광명점</v>
      </c>
      <c r="I63" s="75" t="str">
        <f>VLOOKUP(B63,계약체결용!$B:$K,8,0)</f>
        <v>215-22-64855</v>
      </c>
      <c r="J63" s="75" t="str">
        <f>VLOOKUP(B63,계약체결용!$B:$K,9,0)</f>
        <v>조 선 영</v>
      </c>
      <c r="K63" s="75" t="str">
        <f>VLOOKUP(B63,계약체결용!$B:$K,10,0)</f>
        <v>경기 광명시 일직로 17 롯데프리미엄아울렛 광명점 4층</v>
      </c>
      <c r="L63" s="126" t="s">
        <v>1535</v>
      </c>
      <c r="M63" s="126" t="s">
        <v>1536</v>
      </c>
      <c r="N63" s="75" t="str">
        <f t="shared" si="3"/>
        <v>2025년 4월 1일 ~ 2026년 3월 31일</v>
      </c>
      <c r="O63" s="75" t="s">
        <v>1128</v>
      </c>
    </row>
    <row r="64" spans="2:15" x14ac:dyDescent="0.45">
      <c r="B64" s="75" t="s">
        <v>1129</v>
      </c>
      <c r="C64" s="75" t="str">
        <f>VLOOKUP(B64,'2503기준유통망'!$B:$F,5,0)</f>
        <v>투자형 B-Shop (입점)</v>
      </c>
      <c r="D64" s="75" t="s">
        <v>791</v>
      </c>
      <c r="E64" s="75" t="s">
        <v>792</v>
      </c>
      <c r="F64" s="75" t="s">
        <v>793</v>
      </c>
      <c r="G64" s="75" t="str">
        <f t="shared" si="2"/>
        <v>이천만원 (\20,000,000원)</v>
      </c>
      <c r="H64" s="75" t="str">
        <f>VLOOKUP(B64,계약체결용!$B:$K,7,0)</f>
        <v>일룸 롯데동부산점</v>
      </c>
      <c r="I64" s="75" t="str">
        <f>VLOOKUP(B64,계약체결용!$B:$K,8,0)</f>
        <v>710-50-00456</v>
      </c>
      <c r="J64" s="75" t="str">
        <f>VLOOKUP(B64,계약체결용!$B:$K,9,0)</f>
        <v>안 율</v>
      </c>
      <c r="K64" s="75" t="str">
        <f>VLOOKUP(B64,계약체결용!$B:$K,10,0)</f>
        <v>부산 기장군 동부산관광로 8 메종동부산 롯데몰동부산점 B동 1층</v>
      </c>
      <c r="L64" s="126" t="s">
        <v>1535</v>
      </c>
      <c r="M64" s="126" t="s">
        <v>1536</v>
      </c>
      <c r="N64" s="75" t="str">
        <f t="shared" si="3"/>
        <v>2025년 4월 1일 ~ 2026년 3월 31일</v>
      </c>
      <c r="O64" s="75" t="s">
        <v>1134</v>
      </c>
    </row>
    <row r="65" spans="2:16" x14ac:dyDescent="0.45">
      <c r="B65" s="75" t="s">
        <v>1142</v>
      </c>
      <c r="C65" s="75" t="str">
        <f>VLOOKUP(B65,'2503기준유통망'!$B:$F,5,0)</f>
        <v>b/s-shop (입점)</v>
      </c>
      <c r="D65" s="75" t="s">
        <v>791</v>
      </c>
      <c r="E65" s="75" t="s">
        <v>792</v>
      </c>
      <c r="F65" s="75" t="s">
        <v>793</v>
      </c>
      <c r="G65" s="75" t="str">
        <f t="shared" si="2"/>
        <v>이천만원 (\20,000,000원)</v>
      </c>
      <c r="H65" s="75" t="str">
        <f>VLOOKUP(B65,계약체결용!$B:$K,7,0)</f>
        <v>(주)아이룸텍</v>
      </c>
      <c r="I65" s="75" t="str">
        <f>VLOOKUP(B65,계약체결용!$B:$K,8,0)</f>
        <v>778-87-02591</v>
      </c>
      <c r="J65" s="75" t="str">
        <f>VLOOKUP(B65,계약체결용!$B:$K,9,0)</f>
        <v>오 중 현</v>
      </c>
      <c r="K65" s="75" t="str">
        <f>VLOOKUP(B65,계약체결용!$B:$K,10,0)</f>
        <v>서울 중랑구 동일로 898</v>
      </c>
      <c r="L65" s="97" t="s">
        <v>1577</v>
      </c>
      <c r="M65" s="97" t="s">
        <v>1536</v>
      </c>
      <c r="N65" s="75" t="str">
        <f t="shared" si="3"/>
        <v>2026년 2월 1일 ~ 2026년 3월 31일</v>
      </c>
      <c r="O65" s="75" t="s">
        <v>1034</v>
      </c>
    </row>
    <row r="66" spans="2:16" x14ac:dyDescent="0.45">
      <c r="B66" s="75" t="s">
        <v>1151</v>
      </c>
      <c r="C66" s="75" t="str">
        <f>VLOOKUP(B66,'2503기준유통망'!$B:$F,5,0)</f>
        <v>투자형 B-Shop (입점)</v>
      </c>
      <c r="D66" s="75" t="s">
        <v>791</v>
      </c>
      <c r="E66" s="75" t="s">
        <v>792</v>
      </c>
      <c r="F66" s="75" t="s">
        <v>793</v>
      </c>
      <c r="G66" s="75" t="str">
        <f t="shared" si="2"/>
        <v>이천만원 (\20,000,000원)</v>
      </c>
      <c r="H66" s="75" t="str">
        <f>VLOOKUP(B66,계약체결용!$B:$K,7,0)</f>
        <v>(주)알루컴 인천점</v>
      </c>
      <c r="I66" s="75" t="str">
        <f>VLOOKUP(B66,계약체결용!$B:$K,8,0)</f>
        <v>105-85-41701</v>
      </c>
      <c r="J66" s="75" t="str">
        <f>VLOOKUP(B66,계약체결용!$B:$K,9,0)</f>
        <v>이 종 균</v>
      </c>
      <c r="K66" s="75" t="str">
        <f>VLOOKUP(B66,계약체결용!$B:$K,10,0)</f>
        <v>인천 남동구 인주대로 644</v>
      </c>
      <c r="L66" s="126" t="s">
        <v>1587</v>
      </c>
      <c r="M66" s="78" t="s">
        <v>1536</v>
      </c>
      <c r="N66" s="75" t="str">
        <f t="shared" si="3"/>
        <v>2025년 9월 1일 ~ 2026년 3월 31일</v>
      </c>
      <c r="O66" s="75" t="s">
        <v>1557</v>
      </c>
      <c r="P66" s="125" t="s">
        <v>1254</v>
      </c>
    </row>
    <row r="67" spans="2:16" x14ac:dyDescent="0.45">
      <c r="B67" s="75" t="s">
        <v>1152</v>
      </c>
      <c r="C67" s="75" t="str">
        <f>VLOOKUP(B67,'2503기준유통망'!$B:$F,5,0)</f>
        <v>투자형 B-Shop (입점)</v>
      </c>
      <c r="D67" s="75" t="s">
        <v>791</v>
      </c>
      <c r="E67" s="75" t="s">
        <v>792</v>
      </c>
      <c r="F67" s="75" t="s">
        <v>793</v>
      </c>
      <c r="G67" s="75" t="str">
        <f t="shared" ref="G67:G98" si="4">E67&amp;" (\"&amp;F67&amp;")"</f>
        <v>이천만원 (\20,000,000원)</v>
      </c>
      <c r="H67" s="75" t="str">
        <f>VLOOKUP(B67,계약체결용!$B:$K,7,0)</f>
        <v>페드라(일룸 스타필드고양)</v>
      </c>
      <c r="I67" s="75" t="str">
        <f>VLOOKUP(B67,계약체결용!$B:$K,8,0)</f>
        <v>417-10-72598</v>
      </c>
      <c r="J67" s="75" t="str">
        <f>VLOOKUP(B67,계약체결용!$B:$K,9,0)</f>
        <v>안 중 우</v>
      </c>
      <c r="K67" s="75" t="str">
        <f>VLOOKUP(B67,계약체결용!$B:$K,10,0)</f>
        <v>경기도 고양시 덕양구 고양대로 1955, b1층</v>
      </c>
      <c r="L67" s="126" t="s">
        <v>1210</v>
      </c>
      <c r="M67" s="126" t="s">
        <v>1211</v>
      </c>
      <c r="N67" s="75" t="str">
        <f t="shared" ref="N67:N98" si="5">L67&amp;" ~ "&amp;M67</f>
        <v>2026년 4월 1일 ~ 2027년 3월 31일</v>
      </c>
      <c r="O67" s="75" t="s">
        <v>1155</v>
      </c>
    </row>
    <row r="68" spans="2:16" x14ac:dyDescent="0.45">
      <c r="B68" s="75" t="s">
        <v>1156</v>
      </c>
      <c r="C68" s="75" t="str">
        <f>VLOOKUP(B68,'2503기준유통망'!$B:$F,5,0)</f>
        <v>투자형 B-Shop (입점)</v>
      </c>
      <c r="D68" s="75" t="s">
        <v>791</v>
      </c>
      <c r="E68" s="75" t="s">
        <v>792</v>
      </c>
      <c r="F68" s="75" t="s">
        <v>793</v>
      </c>
      <c r="G68" s="75" t="str">
        <f t="shared" si="4"/>
        <v>이천만원 (\20,000,000원)</v>
      </c>
      <c r="H68" s="75" t="str">
        <f>VLOOKUP(B68,계약체결용!$B:$K,7,0)</f>
        <v>주식회사 일룸수원중앙점</v>
      </c>
      <c r="I68" s="75" t="str">
        <f>VLOOKUP(B68,계약체결용!$B:$K,8,0)</f>
        <v>609-87-00128</v>
      </c>
      <c r="J68" s="75" t="str">
        <f>VLOOKUP(B68,계약체결용!$B:$K,9,0)</f>
        <v>석 옥 련</v>
      </c>
      <c r="K68" s="75" t="str">
        <f>VLOOKUP(B68,계약체결용!$B:$K,10,0)</f>
        <v>경기 수원시 장안구 수성로 175, 6층 6210호(정자동, 스타필드수원)</v>
      </c>
      <c r="L68" s="126" t="s">
        <v>1535</v>
      </c>
      <c r="M68" s="126" t="s">
        <v>1536</v>
      </c>
      <c r="N68" s="75" t="str">
        <f t="shared" si="5"/>
        <v>2025년 4월 1일 ~ 2026년 3월 31일</v>
      </c>
      <c r="O68" s="75" t="s">
        <v>1161</v>
      </c>
    </row>
    <row r="69" spans="2:16" x14ac:dyDescent="0.45">
      <c r="B69" s="75" t="s">
        <v>1162</v>
      </c>
      <c r="C69" s="75" t="str">
        <f>VLOOKUP(B69,'2503기준유통망'!$B:$F,5,0)</f>
        <v>투자형 B-Shop (입점)</v>
      </c>
      <c r="D69" s="75" t="s">
        <v>791</v>
      </c>
      <c r="E69" s="75" t="s">
        <v>792</v>
      </c>
      <c r="F69" s="75" t="s">
        <v>793</v>
      </c>
      <c r="G69" s="75" t="str">
        <f t="shared" si="4"/>
        <v>이천만원 (\20,000,000원)</v>
      </c>
      <c r="H69" s="75" t="str">
        <f>VLOOKUP(B69,계약체결용!$B:$K,7,0)</f>
        <v>주식회사 일룸수원중앙점</v>
      </c>
      <c r="I69" s="75" t="str">
        <f>VLOOKUP(B69,계약체결용!$B:$K,8,0)</f>
        <v>609-87-00128</v>
      </c>
      <c r="J69" s="75" t="str">
        <f>VLOOKUP(B69,계약체결용!$B:$K,9,0)</f>
        <v>석 옥 련</v>
      </c>
      <c r="K69" s="75" t="str">
        <f>VLOOKUP(B69,계약체결용!$B:$K,10,0)</f>
        <v>경기 수원시 장안구 수성로 175, 6층 6210호(정자동, 스타필드수원)</v>
      </c>
      <c r="L69" s="126" t="s">
        <v>1535</v>
      </c>
      <c r="M69" s="126" t="s">
        <v>1536</v>
      </c>
      <c r="N69" s="75" t="str">
        <f t="shared" si="5"/>
        <v>2025년 4월 1일 ~ 2026년 3월 31일</v>
      </c>
      <c r="O69" s="75" t="s">
        <v>1161</v>
      </c>
    </row>
    <row r="70" spans="2:16" x14ac:dyDescent="0.45">
      <c r="B70" s="75" t="s">
        <v>1163</v>
      </c>
      <c r="C70" s="75" t="str">
        <f>VLOOKUP("신세계대전(팝업)",'2503기준유통망'!$B:$F,5,0)</f>
        <v>투자형 B-Shop (입점)</v>
      </c>
      <c r="D70" s="76" t="s">
        <v>791</v>
      </c>
      <c r="E70" s="75" t="s">
        <v>792</v>
      </c>
      <c r="F70" s="75" t="s">
        <v>793</v>
      </c>
      <c r="G70" s="75" t="str">
        <f t="shared" si="4"/>
        <v>이천만원 (\20,000,000원)</v>
      </c>
      <c r="H70" s="77" t="s">
        <v>1588</v>
      </c>
      <c r="I70" s="77" t="s">
        <v>1082</v>
      </c>
      <c r="J70" s="77" t="s">
        <v>1083</v>
      </c>
      <c r="K70" s="77" t="s">
        <v>1084</v>
      </c>
      <c r="L70" s="97" t="s">
        <v>1577</v>
      </c>
      <c r="M70" s="97" t="s">
        <v>1536</v>
      </c>
      <c r="N70" s="75" t="str">
        <f t="shared" si="5"/>
        <v>2026년 2월 1일 ~ 2026년 3월 31일</v>
      </c>
      <c r="O70" s="77" t="s">
        <v>1586</v>
      </c>
    </row>
    <row r="71" spans="2:16" x14ac:dyDescent="0.45">
      <c r="B71" s="75" t="s">
        <v>1199</v>
      </c>
      <c r="C71" s="75" t="str">
        <f>VLOOKUP(B71,'2503기준유통망'!$B:$F,5,0)</f>
        <v>투자형 B-Shop (입점)</v>
      </c>
      <c r="D71" s="76" t="s">
        <v>791</v>
      </c>
      <c r="E71" s="75" t="s">
        <v>792</v>
      </c>
      <c r="F71" s="75" t="s">
        <v>793</v>
      </c>
      <c r="G71" s="75" t="str">
        <f t="shared" si="4"/>
        <v>이천만원 (\20,000,000원)</v>
      </c>
      <c r="H71" s="77" t="s">
        <v>1589</v>
      </c>
      <c r="I71" s="77" t="s">
        <v>1590</v>
      </c>
      <c r="J71" s="77" t="s">
        <v>1570</v>
      </c>
      <c r="K71" s="77" t="s">
        <v>1591</v>
      </c>
      <c r="L71" s="126" t="s">
        <v>1535</v>
      </c>
      <c r="M71" s="126" t="s">
        <v>1536</v>
      </c>
      <c r="N71" s="75" t="str">
        <f t="shared" si="5"/>
        <v>2025년 4월 1일 ~ 2026년 3월 31일</v>
      </c>
      <c r="O71" s="77" t="s">
        <v>1573</v>
      </c>
      <c r="P71" s="82"/>
    </row>
    <row r="72" spans="2:16" x14ac:dyDescent="0.45">
      <c r="B72" s="75" t="s">
        <v>1145</v>
      </c>
      <c r="C72" s="75" t="str">
        <f>VLOOKUP(B72,'2503기준유통망'!$B:$F,5,0)</f>
        <v>투자형 B-Shop (입점)</v>
      </c>
      <c r="D72" s="75" t="s">
        <v>791</v>
      </c>
      <c r="E72" s="75" t="s">
        <v>792</v>
      </c>
      <c r="F72" s="75" t="s">
        <v>793</v>
      </c>
      <c r="G72" s="75" t="str">
        <f t="shared" si="4"/>
        <v>이천만원 (\20,000,000원)</v>
      </c>
      <c r="H72" s="75" t="str">
        <f>VLOOKUP(B72,계약체결용!$B:$K,7,0)</f>
        <v>일룸평촌전시장</v>
      </c>
      <c r="I72" s="75" t="str">
        <f>VLOOKUP(B72,계약체결용!$B:$K,8,0)</f>
        <v>138-10-79418</v>
      </c>
      <c r="J72" s="75" t="str">
        <f>VLOOKUP(B72,계약체결용!$B:$K,9,0)</f>
        <v>황 봉 국</v>
      </c>
      <c r="K72" s="75" t="str">
        <f>VLOOKUP(B72,계약체결용!$B:$K,10,0)</f>
        <v>경기도 안양시 동안구 시민대로 180, 6층(호계동, 롯데백화점 평촌점)</v>
      </c>
      <c r="L72" s="97" t="s">
        <v>1577</v>
      </c>
      <c r="M72" s="97" t="s">
        <v>1536</v>
      </c>
      <c r="N72" s="75" t="str">
        <f t="shared" si="5"/>
        <v>2026년 2월 1일 ~ 2026년 3월 31일</v>
      </c>
      <c r="O72" s="75" t="s">
        <v>1150</v>
      </c>
    </row>
    <row r="73" spans="2:16" s="93" customFormat="1" x14ac:dyDescent="0.45">
      <c r="B73" s="94" t="s">
        <v>1592</v>
      </c>
      <c r="C73" s="94" t="s">
        <v>1189</v>
      </c>
      <c r="D73" s="94" t="s">
        <v>791</v>
      </c>
      <c r="E73" s="94" t="s">
        <v>792</v>
      </c>
      <c r="F73" s="94" t="s">
        <v>793</v>
      </c>
      <c r="G73" s="94" t="s">
        <v>1593</v>
      </c>
      <c r="H73" s="94" t="s">
        <v>908</v>
      </c>
      <c r="I73" s="94" t="s">
        <v>909</v>
      </c>
      <c r="J73" s="94" t="s">
        <v>910</v>
      </c>
      <c r="K73" s="94" t="s">
        <v>911</v>
      </c>
      <c r="L73" s="95" t="s">
        <v>1594</v>
      </c>
      <c r="M73" s="95" t="s">
        <v>1536</v>
      </c>
      <c r="N73" s="94" t="s">
        <v>1595</v>
      </c>
      <c r="O73" s="94" t="s">
        <v>1553</v>
      </c>
    </row>
    <row r="74" spans="2:16" s="93" customFormat="1" x14ac:dyDescent="0.45">
      <c r="B74" s="94" t="s">
        <v>1229</v>
      </c>
      <c r="C74" s="94" t="s">
        <v>1189</v>
      </c>
      <c r="D74" s="94" t="s">
        <v>791</v>
      </c>
      <c r="E74" s="94" t="s">
        <v>792</v>
      </c>
      <c r="F74" s="94" t="s">
        <v>793</v>
      </c>
      <c r="G74" s="94" t="s">
        <v>1593</v>
      </c>
      <c r="H74" s="94" t="s">
        <v>1596</v>
      </c>
      <c r="I74" s="94" t="s">
        <v>1062</v>
      </c>
      <c r="J74" s="94" t="s">
        <v>1063</v>
      </c>
      <c r="K74" s="94" t="s">
        <v>1597</v>
      </c>
      <c r="L74" s="97" t="s">
        <v>1577</v>
      </c>
      <c r="M74" s="97" t="s">
        <v>1536</v>
      </c>
      <c r="N74" s="75" t="str">
        <f>L74&amp;" ~ "&amp;M74</f>
        <v>2026년 2월 1일 ~ 2026년 3월 31일</v>
      </c>
      <c r="O74" s="75" t="s">
        <v>1582</v>
      </c>
    </row>
    <row r="75" spans="2:16" s="93" customFormat="1" x14ac:dyDescent="0.45">
      <c r="B75" s="94" t="s">
        <v>1328</v>
      </c>
      <c r="C75" s="94" t="s">
        <v>1189</v>
      </c>
      <c r="D75" s="94" t="s">
        <v>791</v>
      </c>
      <c r="E75" s="94" t="s">
        <v>792</v>
      </c>
      <c r="F75" s="94" t="s">
        <v>793</v>
      </c>
      <c r="G75" s="94" t="s">
        <v>1593</v>
      </c>
      <c r="H75" s="94" t="s">
        <v>1146</v>
      </c>
      <c r="I75" s="94" t="s">
        <v>1147</v>
      </c>
      <c r="J75" s="94" t="s">
        <v>1148</v>
      </c>
      <c r="K75" s="94" t="s">
        <v>1149</v>
      </c>
      <c r="L75" s="97" t="s">
        <v>1577</v>
      </c>
      <c r="M75" s="97" t="s">
        <v>1598</v>
      </c>
      <c r="N75" s="75" t="str">
        <f>L75&amp;" ~ "&amp;M75</f>
        <v>2026년 2월 1일 ~ 2026년 3월 4일</v>
      </c>
      <c r="O75" s="75" t="s">
        <v>1150</v>
      </c>
    </row>
    <row r="76" spans="2:16" x14ac:dyDescent="0.45">
      <c r="B76" s="81" t="s">
        <v>1599</v>
      </c>
      <c r="C76" s="129" t="s">
        <v>1600</v>
      </c>
      <c r="E76" s="79" t="s">
        <v>1601</v>
      </c>
    </row>
    <row r="77" spans="2:16" x14ac:dyDescent="0.45">
      <c r="B77" s="81" t="s">
        <v>1602</v>
      </c>
      <c r="C77" s="129" t="s">
        <v>1603</v>
      </c>
    </row>
    <row r="78" spans="2:16" x14ac:dyDescent="0.45">
      <c r="B78" s="81" t="s">
        <v>1604</v>
      </c>
      <c r="C78" s="129" t="s">
        <v>1605</v>
      </c>
    </row>
    <row r="79" spans="2:16" x14ac:dyDescent="0.45">
      <c r="B79" s="81" t="s">
        <v>1606</v>
      </c>
      <c r="C79" s="129" t="s">
        <v>1607</v>
      </c>
    </row>
    <row r="80" spans="2:16" x14ac:dyDescent="0.45">
      <c r="B80" s="81" t="s">
        <v>1608</v>
      </c>
      <c r="C80" s="129" t="s">
        <v>1609</v>
      </c>
    </row>
    <row r="81" spans="2:3" x14ac:dyDescent="0.45">
      <c r="B81" s="81" t="s">
        <v>1610</v>
      </c>
      <c r="C81" s="129" t="s">
        <v>1611</v>
      </c>
    </row>
    <row r="82" spans="2:3" x14ac:dyDescent="0.45">
      <c r="C82" s="129"/>
    </row>
  </sheetData>
  <autoFilter ref="B2:O81" xr:uid="{00000000-0009-0000-0000-00000F000000}">
    <sortState ref="B14:O72">
      <sortCondition ref="M2:M73"/>
    </sortState>
  </autoFilter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4</vt:i4>
      </vt:variant>
    </vt:vector>
  </HeadingPairs>
  <TitlesOfParts>
    <vt:vector size="16" baseType="lpstr">
      <vt:lpstr>계약서</vt:lpstr>
      <vt:lpstr>약정서(수수료-투자b입점)</vt:lpstr>
      <vt:lpstr>약정서(CI,SI)</vt:lpstr>
      <vt:lpstr>약정서(개인정보)</vt:lpstr>
      <vt:lpstr>3D홈플래너 사용권계약서</vt:lpstr>
      <vt:lpstr>동반성장 및 청렴서약서</vt:lpstr>
      <vt:lpstr>계약체결용</vt:lpstr>
      <vt:lpstr>2503기준유통망</vt:lpstr>
      <vt:lpstr>26년계약체결용</vt:lpstr>
      <vt:lpstr>대리점유통망2603</vt:lpstr>
      <vt:lpstr>2603실제</vt:lpstr>
      <vt:lpstr>25년계약체결리스트</vt:lpstr>
      <vt:lpstr>계약서!Print_Area</vt:lpstr>
      <vt:lpstr>'약정서(CI,SI)'!Print_Area</vt:lpstr>
      <vt:lpstr>'약정서(개인정보)'!Print_Area</vt:lpstr>
      <vt:lpstr>'약정서(수수료-투자b입점)'!Print_Area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ARA_CHO</dc:creator>
  <cp:lastModifiedBy>서다솔 (Dasol Seo)</cp:lastModifiedBy>
  <cp:lastPrinted>2026-01-27T06:56:08Z</cp:lastPrinted>
  <dcterms:created xsi:type="dcterms:W3CDTF">2024-03-29T02:52:10Z</dcterms:created>
  <dcterms:modified xsi:type="dcterms:W3CDTF">2026-05-20T03:09:48Z</dcterms:modified>
</cp:coreProperties>
</file>