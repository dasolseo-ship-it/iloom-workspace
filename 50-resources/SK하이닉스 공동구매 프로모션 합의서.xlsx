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showInkAnnotation="0"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HP\Desktop\지수\임직원 할인프로모션\"/>
    </mc:Choice>
  </mc:AlternateContent>
  <xr:revisionPtr revIDLastSave="0" documentId="13_ncr:1_{7A6076C9-54E5-4960-A7F9-DDC1F7676C1F}" xr6:coauthVersionLast="36" xr6:coauthVersionMax="47" xr10:uidLastSave="{00000000-0000-0000-0000-000000000000}"/>
  <bookViews>
    <workbookView xWindow="0" yWindow="0" windowWidth="23040" windowHeight="8856" activeTab="4" xr2:uid="{00000000-000D-0000-FFFF-FFFF00000000}"/>
  </bookViews>
  <sheets>
    <sheet name="일반BS" sheetId="7" r:id="rId1"/>
    <sheet name="롯데영등포_입점BS" sheetId="15" state="hidden" r:id="rId2"/>
    <sheet name="투자B" sheetId="17" r:id="rId3"/>
    <sheet name="입점BS" sheetId="18" r:id="rId4"/>
    <sheet name="계약체결용" sheetId="16" r:id="rId5"/>
  </sheets>
  <externalReferences>
    <externalReference r:id="rId6"/>
    <externalReference r:id="rId7"/>
  </externalReferences>
  <definedNames>
    <definedName name="_xlnm._FilterDatabase" localSheetId="4" hidden="1">계약체결용!$B$2:$K$65</definedName>
    <definedName name="_xlnm.Print_Area" localSheetId="1">롯데영등포_입점BS!$A$1:$J$61</definedName>
    <definedName name="_xlnm.Print_Area" localSheetId="0">일반BS!$A$1:$L$66</definedName>
    <definedName name="_xlnm.Print_Area" localSheetId="3">입점BS!$A$1:$L$66</definedName>
    <definedName name="_xlnm.Print_Area" localSheetId="2">투자B!$A$1:$L$66</definedName>
    <definedName name="Z_56764E9B_6291_4C2A_A9D5_3A3B5130145A_.wvu.PrintArea" localSheetId="1" hidden="1">롯데영등포_입점BS!$A$1:$J$61</definedName>
    <definedName name="Z_56764E9B_6291_4C2A_A9D5_3A3B5130145A_.wvu.PrintArea" localSheetId="0" hidden="1">일반BS!$A$1:$L$66</definedName>
    <definedName name="Z_56764E9B_6291_4C2A_A9D5_3A3B5130145A_.wvu.PrintArea" localSheetId="3" hidden="1">입점BS!$A$1:$L$66</definedName>
    <definedName name="Z_56764E9B_6291_4C2A_A9D5_3A3B5130145A_.wvu.PrintArea" localSheetId="2" hidden="1">투자B!$A$1:$L$66</definedName>
    <definedName name="Z_B0D0CE4D_3C6A_4624_9165_1DA7BE440121_.wvu.PrintArea" localSheetId="1" hidden="1">롯데영등포_입점BS!$A$1:$J$61</definedName>
    <definedName name="Z_B0D0CE4D_3C6A_4624_9165_1DA7BE440121_.wvu.PrintArea" localSheetId="0" hidden="1">일반BS!$A$1:$L$66</definedName>
    <definedName name="Z_B0D0CE4D_3C6A_4624_9165_1DA7BE440121_.wvu.PrintArea" localSheetId="3" hidden="1">입점BS!$A$1:$L$66</definedName>
    <definedName name="Z_B0D0CE4D_3C6A_4624_9165_1DA7BE440121_.wvu.PrintArea" localSheetId="2" hidden="1">투자B!$A$1:$L$66</definedName>
  </definedNames>
  <calcPr calcId="191028"/>
  <customWorkbookViews>
    <customWorkbookView name="FURSYS - 사용자 보기" guid="{B0D0CE4D-3C6A-4624-9165-1DA7BE440121}" mergeInterval="0" personalView="1" maximized="1" windowWidth="2400" windowHeight="1056" activeSheetId="1"/>
    <customWorkbookView name="김현주 - 사용자 보기" guid="{56764E9B-6291-4C2A-A9D5-3A3B5130145A}" mergeInterval="0" personalView="1" maximized="1" xWindow="1912" yWindow="-8" windowWidth="1096" windowHeight="1936" activeSheetId="1"/>
  </customWorkbookView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48" i="16" l="1"/>
  <c r="M22" i="16" l="1"/>
  <c r="M21" i="16"/>
  <c r="M16" i="16"/>
  <c r="M13" i="16"/>
  <c r="M8" i="16"/>
  <c r="M6" i="16"/>
  <c r="M5" i="16"/>
  <c r="M3" i="16"/>
  <c r="M68" i="16"/>
  <c r="M64" i="16"/>
  <c r="M60" i="16"/>
  <c r="M59" i="16"/>
  <c r="M58" i="16"/>
  <c r="M57" i="16"/>
  <c r="M56" i="16"/>
  <c r="M55" i="16"/>
  <c r="M54" i="16"/>
  <c r="M52" i="16"/>
  <c r="M51" i="16"/>
  <c r="M50" i="16"/>
  <c r="M46" i="16"/>
  <c r="M45" i="16"/>
  <c r="M44" i="16"/>
  <c r="M43" i="16"/>
  <c r="M42" i="16"/>
  <c r="M39" i="16"/>
  <c r="M38" i="16"/>
  <c r="M36" i="16"/>
  <c r="M34" i="16"/>
  <c r="M33" i="16"/>
  <c r="M31" i="16"/>
  <c r="M30" i="16"/>
  <c r="M29" i="16"/>
  <c r="M28" i="16"/>
  <c r="M26" i="16"/>
  <c r="M23" i="16"/>
  <c r="M14" i="16"/>
  <c r="M7" i="16"/>
  <c r="G66" i="16" l="1"/>
  <c r="D64" i="18" l="1"/>
  <c r="D63" i="18"/>
  <c r="F62" i="18"/>
  <c r="D62" i="18"/>
  <c r="G47" i="16" l="1"/>
  <c r="J65" i="16"/>
  <c r="I65" i="16"/>
  <c r="H65" i="16"/>
  <c r="G65" i="16"/>
  <c r="C65" i="16"/>
  <c r="G64" i="16"/>
  <c r="C64" i="16"/>
  <c r="G63" i="16"/>
  <c r="C63" i="16"/>
  <c r="K62" i="16"/>
  <c r="J62" i="16"/>
  <c r="I62" i="16"/>
  <c r="H62" i="16"/>
  <c r="G62" i="16"/>
  <c r="C62" i="16"/>
  <c r="K61" i="16"/>
  <c r="J61" i="16"/>
  <c r="I61" i="16"/>
  <c r="H61" i="16"/>
  <c r="G61" i="16"/>
  <c r="C61" i="16"/>
  <c r="K60" i="16"/>
  <c r="J60" i="16"/>
  <c r="I60" i="16"/>
  <c r="H60" i="16"/>
  <c r="G60" i="16"/>
  <c r="C60" i="16"/>
  <c r="G59" i="16"/>
  <c r="K58" i="16"/>
  <c r="J58" i="16"/>
  <c r="I58" i="16"/>
  <c r="H58" i="16"/>
  <c r="G58" i="16"/>
  <c r="C58" i="16"/>
  <c r="K57" i="16"/>
  <c r="J57" i="16"/>
  <c r="I57" i="16"/>
  <c r="H57" i="16"/>
  <c r="G57" i="16"/>
  <c r="C57" i="16"/>
  <c r="K56" i="16"/>
  <c r="J56" i="16"/>
  <c r="I56" i="16"/>
  <c r="H56" i="16"/>
  <c r="G56" i="16"/>
  <c r="C56" i="16"/>
  <c r="K55" i="16"/>
  <c r="J55" i="16"/>
  <c r="I55" i="16"/>
  <c r="H55" i="16"/>
  <c r="G55" i="16"/>
  <c r="C55" i="16"/>
  <c r="K54" i="16"/>
  <c r="J54" i="16"/>
  <c r="I54" i="16"/>
  <c r="H54" i="16"/>
  <c r="G54" i="16"/>
  <c r="C54" i="16"/>
  <c r="K53" i="16"/>
  <c r="J53" i="16"/>
  <c r="I53" i="16"/>
  <c r="H53" i="16"/>
  <c r="G53" i="16"/>
  <c r="C53" i="16"/>
  <c r="K52" i="16"/>
  <c r="J52" i="16"/>
  <c r="I52" i="16"/>
  <c r="H52" i="16"/>
  <c r="G52" i="16"/>
  <c r="C52" i="16"/>
  <c r="G51" i="16"/>
  <c r="K50" i="16"/>
  <c r="J50" i="16"/>
  <c r="I50" i="16"/>
  <c r="H50" i="16"/>
  <c r="G50" i="16"/>
  <c r="C50" i="16"/>
  <c r="K49" i="16"/>
  <c r="J49" i="16"/>
  <c r="I49" i="16"/>
  <c r="G49" i="16"/>
  <c r="C49" i="16"/>
  <c r="K48" i="16"/>
  <c r="D63" i="17" s="1"/>
  <c r="J48" i="16"/>
  <c r="I48" i="16"/>
  <c r="H48" i="16"/>
  <c r="D62" i="17" s="1"/>
  <c r="G48" i="16"/>
  <c r="C48" i="16"/>
  <c r="K46" i="16"/>
  <c r="J46" i="16"/>
  <c r="I46" i="16"/>
  <c r="H46" i="16"/>
  <c r="G46" i="16"/>
  <c r="C46" i="16"/>
  <c r="G45" i="16"/>
  <c r="C45" i="16"/>
  <c r="G44" i="16"/>
  <c r="C44" i="16"/>
  <c r="G43" i="16"/>
  <c r="C43" i="16"/>
  <c r="K42" i="16"/>
  <c r="J42" i="16"/>
  <c r="I42" i="16"/>
  <c r="H42" i="16"/>
  <c r="G42" i="16"/>
  <c r="C42" i="16"/>
  <c r="G41" i="16"/>
  <c r="C41" i="16"/>
  <c r="K40" i="16"/>
  <c r="J40" i="16"/>
  <c r="I40" i="16"/>
  <c r="H40" i="16"/>
  <c r="G40" i="16"/>
  <c r="C40" i="16"/>
  <c r="K39" i="16"/>
  <c r="J39" i="16"/>
  <c r="I39" i="16"/>
  <c r="H39" i="16"/>
  <c r="G39" i="16"/>
  <c r="C39" i="16"/>
  <c r="K38" i="16"/>
  <c r="J38" i="16"/>
  <c r="I38" i="16"/>
  <c r="H38" i="16"/>
  <c r="G38" i="16"/>
  <c r="C38" i="16"/>
  <c r="K37" i="16"/>
  <c r="J37" i="16"/>
  <c r="I37" i="16"/>
  <c r="H37" i="16"/>
  <c r="G37" i="16"/>
  <c r="C37" i="16"/>
  <c r="K36" i="16"/>
  <c r="J36" i="16"/>
  <c r="I36" i="16"/>
  <c r="H36" i="16"/>
  <c r="G36" i="16"/>
  <c r="C36" i="16"/>
  <c r="K35" i="16"/>
  <c r="J35" i="16"/>
  <c r="I35" i="16"/>
  <c r="H35" i="16"/>
  <c r="G35" i="16"/>
  <c r="C35" i="16"/>
  <c r="K34" i="16"/>
  <c r="J34" i="16"/>
  <c r="I34" i="16"/>
  <c r="H34" i="16"/>
  <c r="G34" i="16"/>
  <c r="C34" i="16"/>
  <c r="K33" i="16"/>
  <c r="I33" i="16"/>
  <c r="H33" i="16"/>
  <c r="G33" i="16"/>
  <c r="C33" i="16"/>
  <c r="K32" i="16"/>
  <c r="J32" i="16"/>
  <c r="I32" i="16"/>
  <c r="H32" i="16"/>
  <c r="G32" i="16"/>
  <c r="C32" i="16"/>
  <c r="K31" i="16"/>
  <c r="J31" i="16"/>
  <c r="I31" i="16"/>
  <c r="H31" i="16"/>
  <c r="G31" i="16"/>
  <c r="C31" i="16"/>
  <c r="K30" i="16"/>
  <c r="J30" i="16"/>
  <c r="I30" i="16"/>
  <c r="H30" i="16"/>
  <c r="G30" i="16"/>
  <c r="C30" i="16"/>
  <c r="K29" i="16"/>
  <c r="J29" i="16"/>
  <c r="I29" i="16"/>
  <c r="H29" i="16"/>
  <c r="G29" i="16"/>
  <c r="C29" i="16"/>
  <c r="J28" i="16"/>
  <c r="I28" i="16"/>
  <c r="H28" i="16"/>
  <c r="G28" i="16"/>
  <c r="C28" i="16"/>
  <c r="K27" i="16"/>
  <c r="J27" i="16"/>
  <c r="I27" i="16"/>
  <c r="H27" i="16"/>
  <c r="G27" i="16"/>
  <c r="C27" i="16"/>
  <c r="K26" i="16"/>
  <c r="J26" i="16"/>
  <c r="I26" i="16"/>
  <c r="H26" i="16"/>
  <c r="G26" i="16"/>
  <c r="C26" i="16"/>
  <c r="K25" i="16"/>
  <c r="J25" i="16"/>
  <c r="I25" i="16"/>
  <c r="H25" i="16"/>
  <c r="G25" i="16"/>
  <c r="C25" i="16"/>
  <c r="K24" i="16"/>
  <c r="J24" i="16"/>
  <c r="I24" i="16"/>
  <c r="H24" i="16"/>
  <c r="G24" i="16"/>
  <c r="C24" i="16"/>
  <c r="K23" i="16"/>
  <c r="J23" i="16"/>
  <c r="I23" i="16"/>
  <c r="H23" i="16"/>
  <c r="G23" i="16"/>
  <c r="C23" i="16"/>
  <c r="K22" i="16"/>
  <c r="I22" i="16"/>
  <c r="H22" i="16"/>
  <c r="G22" i="16"/>
  <c r="C22" i="16"/>
  <c r="K21" i="16"/>
  <c r="J21" i="16"/>
  <c r="I21" i="16"/>
  <c r="H21" i="16"/>
  <c r="G21" i="16"/>
  <c r="C21" i="16"/>
  <c r="K20" i="16"/>
  <c r="J20" i="16"/>
  <c r="I20" i="16"/>
  <c r="H20" i="16"/>
  <c r="G20" i="16"/>
  <c r="C20" i="16"/>
  <c r="K19" i="16"/>
  <c r="J19" i="16"/>
  <c r="I19" i="16"/>
  <c r="H19" i="16"/>
  <c r="G19" i="16"/>
  <c r="C19" i="16"/>
  <c r="K18" i="16"/>
  <c r="J18" i="16"/>
  <c r="I18" i="16"/>
  <c r="H18" i="16"/>
  <c r="G18" i="16"/>
  <c r="C18" i="16"/>
  <c r="G17" i="16"/>
  <c r="K16" i="16"/>
  <c r="J16" i="16"/>
  <c r="I16" i="16"/>
  <c r="H16" i="16"/>
  <c r="G16" i="16"/>
  <c r="C16" i="16"/>
  <c r="G15" i="16"/>
  <c r="K14" i="16"/>
  <c r="J14" i="16"/>
  <c r="I14" i="16"/>
  <c r="H14" i="16"/>
  <c r="G14" i="16"/>
  <c r="C14" i="16"/>
  <c r="K13" i="16"/>
  <c r="J13" i="16"/>
  <c r="I13" i="16"/>
  <c r="H13" i="16"/>
  <c r="G13" i="16"/>
  <c r="C13" i="16"/>
  <c r="K12" i="16"/>
  <c r="J12" i="16"/>
  <c r="I12" i="16"/>
  <c r="H12" i="16"/>
  <c r="G12" i="16"/>
  <c r="C12" i="16"/>
  <c r="K11" i="16"/>
  <c r="J11" i="16"/>
  <c r="I11" i="16"/>
  <c r="H11" i="16"/>
  <c r="G11" i="16"/>
  <c r="C11" i="16"/>
  <c r="K10" i="16"/>
  <c r="J10" i="16"/>
  <c r="I10" i="16"/>
  <c r="H10" i="16"/>
  <c r="G10" i="16"/>
  <c r="C10" i="16"/>
  <c r="K9" i="16"/>
  <c r="J9" i="16"/>
  <c r="I9" i="16"/>
  <c r="H9" i="16"/>
  <c r="G9" i="16"/>
  <c r="C9" i="16"/>
  <c r="K8" i="16"/>
  <c r="J8" i="16"/>
  <c r="I8" i="16"/>
  <c r="H8" i="16"/>
  <c r="G8" i="16"/>
  <c r="C8" i="16"/>
  <c r="K7" i="16"/>
  <c r="J7" i="16"/>
  <c r="I7" i="16"/>
  <c r="H7" i="16"/>
  <c r="G7" i="16"/>
  <c r="C7" i="16"/>
  <c r="K6" i="16"/>
  <c r="J6" i="16"/>
  <c r="I6" i="16"/>
  <c r="H6" i="16"/>
  <c r="G6" i="16"/>
  <c r="C6" i="16"/>
  <c r="K5" i="16"/>
  <c r="J5" i="16"/>
  <c r="I5" i="16"/>
  <c r="H5" i="16"/>
  <c r="G5" i="16"/>
  <c r="C5" i="16"/>
  <c r="G4" i="16"/>
  <c r="C4" i="16"/>
  <c r="K3" i="16"/>
  <c r="D63" i="7" s="1"/>
  <c r="J3" i="16"/>
  <c r="D64" i="17" s="1"/>
  <c r="I3" i="16"/>
  <c r="H3" i="16"/>
  <c r="D62" i="7" s="1"/>
  <c r="G3" i="16"/>
  <c r="C3" i="16"/>
  <c r="F62" i="17" l="1"/>
  <c r="F62" i="7"/>
  <c r="D64" i="7"/>
  <c r="A5" i="15" l="1"/>
</calcChain>
</file>

<file path=xl/sharedStrings.xml><?xml version="1.0" encoding="utf-8"?>
<sst xmlns="http://schemas.openxmlformats.org/spreadsheetml/2006/main" count="662" uniqueCount="286">
  <si>
    <t>임직원 할인판매 프로모션 합의서</t>
    <phoneticPr fontId="2" type="noConversion"/>
  </si>
  <si>
    <r>
      <t xml:space="preserve">다음과 같이 </t>
    </r>
    <r>
      <rPr>
        <b/>
        <sz val="10"/>
        <rFont val="바탕체"/>
        <family val="1"/>
        <charset val="129"/>
      </rPr>
      <t>아모레퍼시픽</t>
    </r>
    <r>
      <rPr>
        <sz val="10"/>
        <rFont val="바탕체"/>
        <family val="1"/>
        <charset val="129"/>
      </rPr>
      <t xml:space="preserve"> 임직원할인 판매 프로모션 관련 진행에 대하여 합의한다.</t>
    </r>
    <phoneticPr fontId="2" type="noConversion"/>
  </si>
  <si>
    <t xml:space="preserve">- 다         음 - </t>
  </si>
  <si>
    <t>제1조 [목적]</t>
    <phoneticPr fontId="13" type="noConversion"/>
  </si>
  <si>
    <t>1) 이 합의는 아모레퍼시픽 임직원 할인판매 프로모션기간 중 분담금 협의 조건 등을 정함을 목적으로 한다.</t>
    <phoneticPr fontId="2" type="noConversion"/>
  </si>
  <si>
    <t>제2조 [수수료 변경 품목]</t>
    <phoneticPr fontId="13" type="noConversion"/>
  </si>
  <si>
    <t>1) 공급업자가 정한 일룸 전체 제품을 수수료 변경 품목으로 한다.</t>
    <phoneticPr fontId="2" type="noConversion"/>
  </si>
  <si>
    <t>2) 공급품목은 운영 중 상호합의하에 조정할 수 있으며, 계약기간 중 공급품목의 변동은 없으나 불가피한 사유</t>
    <phoneticPr fontId="2" type="noConversion"/>
  </si>
  <si>
    <t xml:space="preserve">   발생 시 사전 통지 후 공급을 중단할 수 있다.</t>
    <phoneticPr fontId="2" type="noConversion"/>
  </si>
  <si>
    <t>제3조 [판매수수료]</t>
    <phoneticPr fontId="2" type="noConversion"/>
  </si>
  <si>
    <t xml:space="preserve">   판매수수료 산정방식에 대해 오프라인 제품과 공급단가 및 판매관리비 등에 차이가 있어 수수료가 다름을 설명받고</t>
    <phoneticPr fontId="2" type="noConversion"/>
  </si>
  <si>
    <t xml:space="preserve">   이에 동의하였음을 상호간에 확인한다.</t>
    <phoneticPr fontId="2" type="noConversion"/>
  </si>
  <si>
    <t>제4조 [프로모션 기간 및 상세내용]</t>
    <phoneticPr fontId="2" type="noConversion"/>
  </si>
  <si>
    <t>1) 아모레퍼시픽 임직원 할인판매 프로모션은 일정 기간만 한정 진행되는 건을 대상으로 한다.</t>
    <phoneticPr fontId="2" type="noConversion"/>
  </si>
  <si>
    <t xml:space="preserve">   임직원 할인판매 적용 기간 (수주 기준: 2025년 08월 04일 ~ 09월 07일 / 매출 기준: 2025년 08월 08일 ~ 10월 31일)</t>
    <phoneticPr fontId="2" type="noConversion"/>
  </si>
  <si>
    <t>2) 아모레퍼시픽 임직원 사원증 및 명함 확인은 필수이며, 구매횟수는 1인 1건으로 제한합니다.</t>
    <phoneticPr fontId="2" type="noConversion"/>
  </si>
  <si>
    <t>제5조 [분쟁해결 및 재판관할]</t>
    <phoneticPr fontId="2" type="noConversion"/>
  </si>
  <si>
    <t>1) 이 합의에서 정하지 아니한 사항 또는 이 합의의 내용에 대하여 공급업자와 대리점간 분쟁이 발생한 경우,</t>
    <phoneticPr fontId="2" type="noConversion"/>
  </si>
  <si>
    <t xml:space="preserve">   공급업자와 대리점의 합의된 의사에 따른다. 공급업자와 대리점사이에 내용 해석과 관련한 합의가 이루어지지</t>
    <phoneticPr fontId="2" type="noConversion"/>
  </si>
  <si>
    <t xml:space="preserve">   않은 경우 일반 상관례 및 관련 법령에 따른다.</t>
    <phoneticPr fontId="2" type="noConversion"/>
  </si>
  <si>
    <t>2) 제1항에 의해서도 이 합의와 관련한 분쟁이 해결되지 아니한 경우에는 「대리점거래의 공정화에 관한 법률」</t>
    <phoneticPr fontId="2" type="noConversion"/>
  </si>
  <si>
    <t xml:space="preserve">   제19조 제1항에 따라 대리점분쟁조정협의회에 조정을 신청할 수 있다. 이 경우에 공급업자와 대리점은 조정절차에</t>
    <phoneticPr fontId="2" type="noConversion"/>
  </si>
  <si>
    <t xml:space="preserve">   성실하게 임하며, 원활한 분쟁해결을 위해 노력한다.</t>
    <phoneticPr fontId="2" type="noConversion"/>
  </si>
  <si>
    <t>3) 공급업자와 대리점이 제2항에 따른 조정을 신청하지 아니하는 경우, 이 합의에 관한 분쟁의 해결은 통상의</t>
    <phoneticPr fontId="2" type="noConversion"/>
  </si>
  <si>
    <t xml:space="preserve">   민사재판에 의하며, 관할은 민사소송법에 따른다.</t>
    <phoneticPr fontId="2" type="noConversion"/>
  </si>
  <si>
    <t>제6조 [합의의 효력 등]</t>
    <phoneticPr fontId="2" type="noConversion"/>
  </si>
  <si>
    <t>1) 공급업자와 대리점은 이 합의를 체결하기 전에 충분한 협의를 거쳤고, 합의 내용을 모두 숙지하였으며,</t>
    <phoneticPr fontId="2" type="noConversion"/>
  </si>
  <si>
    <t xml:space="preserve">   이 합의를 증명하기 위하여 전자계약으로 서명 또는 기명날인하여 각각 1부씩 보관한다.</t>
    <phoneticPr fontId="2" type="noConversion"/>
  </si>
  <si>
    <t>2) 이 합의서에 기재된 내용만이 공급업자와 대리점 사이에 합의된 내용이며, 이 이외의 내용에 대한 당사자 간의</t>
    <phoneticPr fontId="2" type="noConversion"/>
  </si>
  <si>
    <t xml:space="preserve">   그 어떠한 구두 합의도 당사자를 구속하지 아니한다. </t>
    <phoneticPr fontId="2" type="noConversion"/>
  </si>
  <si>
    <t>3) 이 합의서의 내용은 공급업자와 대리점 사이의 서면 합의에 의해서만 변경되거나 수정될 수 있으며,</t>
    <phoneticPr fontId="2" type="noConversion"/>
  </si>
  <si>
    <t xml:space="preserve">   그 변경 및 수정은 공급업자와 대리점이 해당 서면에 서명 또는 기명날인함과 동시에 그 효력을 발생한다.</t>
    <phoneticPr fontId="2" type="noConversion"/>
  </si>
  <si>
    <t>"공급업자"</t>
    <phoneticPr fontId="2" type="noConversion"/>
  </si>
  <si>
    <t>상호 :</t>
    <phoneticPr fontId="2" type="noConversion"/>
  </si>
  <si>
    <t>주식회사 일룸 (215-86-93600)</t>
    <phoneticPr fontId="2" type="noConversion"/>
  </si>
  <si>
    <t>주소 :</t>
    <phoneticPr fontId="2" type="noConversion"/>
  </si>
  <si>
    <t>서울특별시 송파구 오금동 45-1 퍼시스빌딩 3층</t>
  </si>
  <si>
    <t>대표 :</t>
    <phoneticPr fontId="2" type="noConversion"/>
  </si>
  <si>
    <t>정 보 은</t>
    <phoneticPr fontId="2" type="noConversion"/>
  </si>
  <si>
    <t>(인)</t>
  </si>
  <si>
    <t>"대리점"</t>
    <phoneticPr fontId="2" type="noConversion"/>
  </si>
  <si>
    <t>1) 판매수수료는 10% 할인된 위탁판매금액(VAT별도)의 A타입 품목과 B타입 품목은 20.5% 책정되며, 공지와 자료를 통하여 해당</t>
    <phoneticPr fontId="2" type="noConversion"/>
  </si>
  <si>
    <t>일룸 롯데영등포점 (113-22-86081)</t>
    <phoneticPr fontId="2" type="noConversion"/>
  </si>
  <si>
    <t>서울 영등포구 경인로 846 (영등포동, 영등포 민자역사)</t>
    <phoneticPr fontId="2" type="noConversion"/>
  </si>
  <si>
    <t>오 승 균</t>
    <phoneticPr fontId="2" type="noConversion"/>
  </si>
  <si>
    <t>"본 합의서는 ㈜일룸 (이하 공급업자)과</t>
    <phoneticPr fontId="2" type="noConversion"/>
  </si>
  <si>
    <t>(이하 대리점) 간에</t>
    <phoneticPr fontId="2" type="noConversion"/>
  </si>
  <si>
    <t>대리점명</t>
    <phoneticPr fontId="2" type="noConversion"/>
  </si>
  <si>
    <t>대리점유형</t>
    <phoneticPr fontId="2" type="noConversion"/>
  </si>
  <si>
    <t>25년 거래보증금 설정</t>
    <phoneticPr fontId="2" type="noConversion"/>
  </si>
  <si>
    <t>24거래보증금</t>
    <phoneticPr fontId="2" type="noConversion"/>
  </si>
  <si>
    <t>사업자명</t>
    <phoneticPr fontId="2" type="noConversion"/>
  </si>
  <si>
    <t>사업자번호</t>
    <phoneticPr fontId="2" type="noConversion"/>
  </si>
  <si>
    <t>대표</t>
    <phoneticPr fontId="2" type="noConversion"/>
  </si>
  <si>
    <t>주소</t>
    <phoneticPr fontId="2" type="noConversion"/>
  </si>
  <si>
    <t>강릉4</t>
  </si>
  <si>
    <t>현금</t>
    <phoneticPr fontId="2" type="noConversion"/>
  </si>
  <si>
    <t>이천만원</t>
    <phoneticPr fontId="2" type="noConversion"/>
  </si>
  <si>
    <t>20,000,000원</t>
    <phoneticPr fontId="2" type="noConversion"/>
  </si>
  <si>
    <t>거제4</t>
  </si>
  <si>
    <t>일룸 거제점</t>
    <phoneticPr fontId="2" type="noConversion"/>
  </si>
  <si>
    <t>178-73-00699</t>
    <phoneticPr fontId="2" type="noConversion"/>
  </si>
  <si>
    <t>안 율</t>
    <phoneticPr fontId="2" type="noConversion"/>
  </si>
  <si>
    <t>경상남도 거제시 수양로 454-40, 2층(수월동)</t>
    <phoneticPr fontId="2" type="noConversion"/>
  </si>
  <si>
    <t>경주4</t>
  </si>
  <si>
    <t>구미5</t>
  </si>
  <si>
    <t>김포5</t>
  </si>
  <si>
    <t>김해2</t>
  </si>
  <si>
    <t>달서5</t>
  </si>
  <si>
    <t>덕진2</t>
  </si>
  <si>
    <t>마산6</t>
  </si>
  <si>
    <t>봉선5</t>
  </si>
  <si>
    <t>부천3</t>
  </si>
  <si>
    <t>분당2</t>
  </si>
  <si>
    <t>서대전3</t>
  </si>
  <si>
    <t>세종2</t>
  </si>
  <si>
    <t>수성5</t>
  </si>
  <si>
    <t>순천4</t>
  </si>
  <si>
    <t>안동5</t>
  </si>
  <si>
    <t>안산상록수2</t>
  </si>
  <si>
    <t>노수민</t>
    <phoneticPr fontId="2" type="noConversion"/>
  </si>
  <si>
    <t>양산3</t>
  </si>
  <si>
    <t>연제4</t>
  </si>
  <si>
    <t>원주3</t>
  </si>
  <si>
    <t>의정부8</t>
  </si>
  <si>
    <t>인천중앙2</t>
  </si>
  <si>
    <t>일산킨텍스</t>
  </si>
  <si>
    <t>전군2</t>
  </si>
  <si>
    <t>중화산4</t>
  </si>
  <si>
    <t>진주2</t>
  </si>
  <si>
    <t>창원3</t>
  </si>
  <si>
    <t>천안불당3</t>
  </si>
  <si>
    <t>청남3</t>
  </si>
  <si>
    <t>청주6</t>
  </si>
  <si>
    <t>청주중앙4</t>
  </si>
  <si>
    <t>춘천3</t>
  </si>
  <si>
    <t>포항2</t>
  </si>
  <si>
    <t>포항중앙2</t>
  </si>
  <si>
    <t>하단3</t>
  </si>
  <si>
    <t>롯데광복2</t>
  </si>
  <si>
    <t>일룸 롯데광복점</t>
    <phoneticPr fontId="2" type="noConversion"/>
  </si>
  <si>
    <t>173-62-00679</t>
    <phoneticPr fontId="2" type="noConversion"/>
  </si>
  <si>
    <t>조 정 혁</t>
    <phoneticPr fontId="2" type="noConversion"/>
  </si>
  <si>
    <t>부산광역시 중구 중앙대로 2, 8층</t>
    <phoneticPr fontId="2" type="noConversion"/>
  </si>
  <si>
    <t>롯데동탄2</t>
  </si>
  <si>
    <t>롯데미아</t>
  </si>
  <si>
    <t>㈜아이룸텍</t>
    <phoneticPr fontId="2" type="noConversion"/>
  </si>
  <si>
    <t>778-87-02591</t>
    <phoneticPr fontId="2" type="noConversion"/>
  </si>
  <si>
    <t>오 중 현</t>
    <phoneticPr fontId="2" type="noConversion"/>
  </si>
  <si>
    <t>서울 중랑구 동일로 898</t>
    <phoneticPr fontId="2" type="noConversion"/>
  </si>
  <si>
    <t>롯데안산(팝업)</t>
  </si>
  <si>
    <t>일룸 롯데 안산점</t>
    <phoneticPr fontId="2" type="noConversion"/>
  </si>
  <si>
    <t>336-46-01186</t>
    <phoneticPr fontId="2" type="noConversion"/>
  </si>
  <si>
    <t>최 하 은</t>
    <phoneticPr fontId="2" type="noConversion"/>
  </si>
  <si>
    <t>경기도 안산시 단원구 고잔1길 12, 3층(고잔동, 롯데백화점 안산점)</t>
    <phoneticPr fontId="2" type="noConversion"/>
  </si>
  <si>
    <t>롯데영등포</t>
  </si>
  <si>
    <t>일룸 롯데영등포점</t>
    <phoneticPr fontId="2" type="noConversion"/>
  </si>
  <si>
    <t>113-22-86081</t>
    <phoneticPr fontId="2" type="noConversion"/>
  </si>
  <si>
    <t>서울 영등포구 영등포동 경인로846, 롯데백화점 9층</t>
    <phoneticPr fontId="2" type="noConversion"/>
  </si>
  <si>
    <t>롯데청량리</t>
  </si>
  <si>
    <t>광천5</t>
  </si>
  <si>
    <t>대전도안3</t>
  </si>
  <si>
    <t>안양</t>
  </si>
  <si>
    <t>인천검단</t>
  </si>
  <si>
    <t>보증보험</t>
    <phoneticPr fontId="2" type="noConversion"/>
  </si>
  <si>
    <t>제주5</t>
  </si>
  <si>
    <t>천안신방3</t>
  </si>
  <si>
    <t>기흥4</t>
  </si>
  <si>
    <t>롯데광명</t>
  </si>
  <si>
    <t>롯데동부산2</t>
  </si>
  <si>
    <t>롯데평촌</t>
  </si>
  <si>
    <t>스타필드고양</t>
  </si>
  <si>
    <t>스타필드수원(6층)</t>
  </si>
  <si>
    <t>스타필드수원키즈(3층)</t>
  </si>
  <si>
    <t>신세계대전(팝업)</t>
  </si>
  <si>
    <t>대전 서구 가수원동 1061 리더스프라자 B동 2~3층</t>
  </si>
  <si>
    <t>신세계시흥2</t>
  </si>
  <si>
    <t>일룸 신세계시흥</t>
    <phoneticPr fontId="2" type="noConversion"/>
  </si>
  <si>
    <t>133-40-01343</t>
    <phoneticPr fontId="2" type="noConversion"/>
  </si>
  <si>
    <t>경기도 시흥시 서해안로 699, 2층 (배곧동, 시흥 프리미엄 아울렛)</t>
    <phoneticPr fontId="2" type="noConversion"/>
  </si>
  <si>
    <t>신세계파주2</t>
  </si>
  <si>
    <t>(</t>
    <phoneticPr fontId="2" type="noConversion"/>
  </si>
  <si>
    <t>)</t>
    <phoneticPr fontId="2" type="noConversion"/>
  </si>
  <si>
    <t>주식회사 일룸</t>
    <phoneticPr fontId="2" type="noConversion"/>
  </si>
  <si>
    <t>215-86-93600</t>
    <phoneticPr fontId="2" type="noConversion"/>
  </si>
  <si>
    <t>롯데구리</t>
    <phoneticPr fontId="2" type="noConversion"/>
  </si>
  <si>
    <t>일루 롯데구리점</t>
    <phoneticPr fontId="2" type="noConversion"/>
  </si>
  <si>
    <t>493-27-00631</t>
    <phoneticPr fontId="2" type="noConversion"/>
  </si>
  <si>
    <t>구 현 정</t>
    <phoneticPr fontId="2" type="noConversion"/>
  </si>
  <si>
    <t>경기도 구리시 경춘로 261, 롯데백화점구리점 7층</t>
    <phoneticPr fontId="2" type="noConversion"/>
  </si>
  <si>
    <t>다음과 같이 SK하이닉스 임직원할인 판매 프로모션 관련 진행에 대하여 합의한다.</t>
    <phoneticPr fontId="2" type="noConversion"/>
  </si>
  <si>
    <t>다음과 같이 SK하이닉스 임직원 할인 판매 프로모션 관련 진행에 대하여 합의한다.</t>
    <phoneticPr fontId="2" type="noConversion"/>
  </si>
  <si>
    <t>임직원 할인 판매 프로모션 합의서</t>
    <phoneticPr fontId="2" type="noConversion"/>
  </si>
  <si>
    <t>1) 이 합의는 SK하이닉스 임직원 할인판매 프로모션기간 중 분담금 협의 조건 등을 정함을 목적으로 한다.</t>
    <phoneticPr fontId="2" type="noConversion"/>
  </si>
  <si>
    <t>1) SK하이닉스 임직원 할인판매 프로모션은 일정 기간만 한정 진행되는 건을 대상으로 한다.</t>
    <phoneticPr fontId="2" type="noConversion"/>
  </si>
  <si>
    <t xml:space="preserve">   임직원 할인판매 프로모션 적용 기간</t>
    <phoneticPr fontId="2" type="noConversion"/>
  </si>
  <si>
    <t xml:space="preserve">   (수주 기준: 2026년 01월 23일 ~ 02월 08일 / 매출 기준: 2026년 01월 23일 ~ 05월 31일)</t>
    <phoneticPr fontId="2" type="noConversion"/>
  </si>
  <si>
    <t>2) SK하이닉스 임직원 사원증 및 명함 확인은 필수이며, 구매횟수는 1인 1건으로 제한합니다.</t>
    <phoneticPr fontId="2" type="noConversion"/>
  </si>
  <si>
    <t>b/s-shop (입점)</t>
  </si>
  <si>
    <t>서산4</t>
    <phoneticPr fontId="2" type="noConversion"/>
  </si>
  <si>
    <t>B/S-Shop</t>
  </si>
  <si>
    <t>일룸 서산점</t>
    <phoneticPr fontId="2" type="noConversion"/>
  </si>
  <si>
    <t>123-47-01118</t>
    <phoneticPr fontId="2" type="noConversion"/>
  </si>
  <si>
    <t>김정남</t>
    <phoneticPr fontId="2" type="noConversion"/>
  </si>
  <si>
    <t>충청남도 서산시 서해로 3449(석림동)</t>
    <phoneticPr fontId="2" type="noConversion"/>
  </si>
  <si>
    <t>NC대전유성</t>
    <phoneticPr fontId="2" type="noConversion"/>
  </si>
  <si>
    <t>류 대 열</t>
    <phoneticPr fontId="2" type="noConversion"/>
  </si>
  <si>
    <t>일룸 NC대전유성점</t>
    <phoneticPr fontId="2" type="noConversion"/>
  </si>
  <si>
    <t>314-27-63783</t>
  </si>
  <si>
    <t>울산5</t>
    <phoneticPr fontId="2" type="noConversion"/>
  </si>
  <si>
    <t>일룸 울산점</t>
  </si>
  <si>
    <t>301-45-04477</t>
  </si>
  <si>
    <t>조 정 혁</t>
  </si>
  <si>
    <t>울산 남구 삼산로 361</t>
  </si>
  <si>
    <t>투자형 B-Shop (입점)</t>
  </si>
  <si>
    <t>(주)알루컴 인천점</t>
  </si>
  <si>
    <t>105-85-41701</t>
  </si>
  <si>
    <t>이 종 균</t>
  </si>
  <si>
    <t>인천 남동구 인주대로 644</t>
  </si>
  <si>
    <t>송도5</t>
    <phoneticPr fontId="2" type="noConversion"/>
  </si>
  <si>
    <t>최 정 우</t>
  </si>
  <si>
    <t>광주 광산구 하남대로 352 3층 일룸빛고을점</t>
  </si>
  <si>
    <t>빛고을3</t>
    <phoneticPr fontId="2" type="noConversion"/>
  </si>
  <si>
    <t>주식회사 일룸</t>
  </si>
  <si>
    <t>현금</t>
  </si>
  <si>
    <t>이천만원</t>
  </si>
  <si>
    <t>20,000,000원</t>
  </si>
  <si>
    <t>이천만원 (\20,000,000원)</t>
  </si>
  <si>
    <t>142-88-00388</t>
  </si>
  <si>
    <t>김 대 현</t>
  </si>
  <si>
    <t>전남 순천시 중앙로 118</t>
  </si>
  <si>
    <t>롯데몰여수(팝업)</t>
    <phoneticPr fontId="2" type="noConversion"/>
  </si>
  <si>
    <t>김은미, 주세형</t>
    <phoneticPr fontId="2" type="noConversion"/>
  </si>
  <si>
    <t>경기도 고양시 일산동구 장항동 1825</t>
    <phoneticPr fontId="2" type="noConversion"/>
  </si>
  <si>
    <t>일룸빛고을점</t>
  </si>
  <si>
    <t>451-48-01330</t>
  </si>
  <si>
    <t>롯데의왕</t>
    <phoneticPr fontId="2" type="noConversion"/>
  </si>
  <si>
    <t>일룸평촌전시장</t>
  </si>
  <si>
    <t>138-10-79418</t>
  </si>
  <si>
    <t>황 봉 국</t>
  </si>
  <si>
    <t>경기도 의왕시 바라산로1(학의동) 롯데프리미엄아울렛 의왕점 PLAY VILLE 1층</t>
    <phoneticPr fontId="2" type="noConversion"/>
  </si>
  <si>
    <t xml:space="preserve">   상기 정산 방식에 대해 설명받고  이에 동의하였음을 상호간에 확인한다.</t>
    <phoneticPr fontId="2" type="noConversion"/>
  </si>
  <si>
    <t>제3조 [판매수수료 및 미수금]</t>
    <phoneticPr fontId="2" type="noConversion"/>
  </si>
  <si>
    <t>1) 본 프로모션에 대한 판매수수료율은 「2025년 위탁판매리점 판매수수료 및 지원금 약정서」에서 정한 판매수수료율을 동일하게 적용한다.</t>
    <phoneticPr fontId="2" type="noConversion"/>
  </si>
  <si>
    <t xml:space="preserve">   다만, 판매수수료 산정의 기준이 되는 금액은 정상 소비자가(VAT별도)에서 10%를 할인한 금액으로 한다.</t>
    <phoneticPr fontId="2" type="noConversion"/>
  </si>
  <si>
    <t>2) 제1항의 10% 할인 금액(VAT 별도)에 대하여는 각 대리점과 본사가 각각 50%의 비율로 분담한다.</t>
    <phoneticPr fontId="2" type="noConversion"/>
  </si>
  <si>
    <t>3) 전항에 따라 발생하는 대리점 부담분은 미수금으로 산정하여 위탁판매수수료(VAT 별도)정산 시 상계 처리하기로 한다.</t>
    <phoneticPr fontId="2" type="noConversion"/>
  </si>
  <si>
    <t>4) 대리점은 본 조의 내용에 대하여 충분한 설명을 제공받았으며,</t>
    <phoneticPr fontId="2" type="noConversion"/>
  </si>
  <si>
    <t xml:space="preserve">   이를 명확히 이해한 상태에서 전적으로 자유로운 의사에 따라 본 조항에 동의하였음을 당사자 상호 간에 확인한다. </t>
    <phoneticPr fontId="2" type="noConversion"/>
  </si>
  <si>
    <t>2) 제1항의 10% 할인 금액(VAT 별도)에 대하여는 각 대리점과 본사가 각각 40%(대리점), 60%(본사)의 비율로 분담한다.</t>
    <phoneticPr fontId="2" type="noConversion"/>
  </si>
  <si>
    <t xml:space="preserve">신세계파주2 </t>
  </si>
  <si>
    <t>롯데의왕</t>
  </si>
  <si>
    <t>201-86-45638</t>
  </si>
  <si>
    <t>505-09-65796</t>
  </si>
  <si>
    <t>137-17-39033</t>
  </si>
  <si>
    <t>514-19-58959</t>
  </si>
  <si>
    <t>608-47-60393</t>
  </si>
  <si>
    <t>313-36-00088</t>
  </si>
  <si>
    <t>123-47-01118</t>
  </si>
  <si>
    <t>502-21-75604</t>
  </si>
  <si>
    <t>511-08-44988</t>
  </si>
  <si>
    <t>463-03-00712</t>
  </si>
  <si>
    <t>224-07-71963</t>
  </si>
  <si>
    <t>403-03-30193</t>
  </si>
  <si>
    <t>613-06-76176</t>
  </si>
  <si>
    <t>416-22-25834</t>
  </si>
  <si>
    <t>335-87-02787</t>
  </si>
  <si>
    <t>221-02-56686</t>
  </si>
  <si>
    <t>173-62-00679</t>
  </si>
  <si>
    <t>778-87-02591</t>
  </si>
  <si>
    <t>113-22-86081</t>
  </si>
  <si>
    <t>493-27-00631</t>
  </si>
  <si>
    <t>408-88-02821</t>
  </si>
  <si>
    <t>213-26-00566</t>
  </si>
  <si>
    <t>710-50-00456</t>
  </si>
  <si>
    <t>609-87-00128</t>
  </si>
  <si>
    <t>837-15-00255</t>
  </si>
  <si>
    <t>178-73-00699</t>
  </si>
  <si>
    <t>283-05-01540</t>
  </si>
  <si>
    <t>615-17-27736</t>
  </si>
  <si>
    <t>418-06-94448</t>
  </si>
  <si>
    <t>135-10-97912</t>
  </si>
  <si>
    <t>305-29-60452</t>
  </si>
  <si>
    <t>760-33-00129</t>
  </si>
  <si>
    <t>207-04-55609</t>
  </si>
  <si>
    <t>388-87-01424</t>
  </si>
  <si>
    <t>550-88-00221</t>
  </si>
  <si>
    <t>670-81-01506</t>
  </si>
  <si>
    <t>402-20-78721</t>
  </si>
  <si>
    <t>609-81-43386</t>
  </si>
  <si>
    <t>745-10-00252</t>
  </si>
  <si>
    <t>785-86-00352</t>
  </si>
  <si>
    <t>506-04-65571</t>
  </si>
  <si>
    <t>506-14-15162</t>
  </si>
  <si>
    <t>617-29-91066</t>
  </si>
  <si>
    <t>836-07-02556</t>
  </si>
  <si>
    <t>336-46-01186</t>
  </si>
  <si>
    <t>410-03-23351</t>
  </si>
  <si>
    <t>334-37-00928</t>
  </si>
  <si>
    <t>872-03-02670</t>
  </si>
  <si>
    <t>312-20-61970</t>
  </si>
  <si>
    <t>215-22-64855</t>
  </si>
  <si>
    <t>417-10-72598</t>
  </si>
  <si>
    <t>133-40-01343</t>
  </si>
  <si>
    <t>kjn0120@naver.com</t>
  </si>
  <si>
    <t>woowby@naver.com</t>
  </si>
  <si>
    <t>ld5yul@daum.net</t>
  </si>
  <si>
    <t>heraseo219@nate.com</t>
  </si>
  <si>
    <t>elioom@nate.com</t>
  </si>
  <si>
    <t>smartopc@naver.com</t>
  </si>
  <si>
    <t>kimh2488@naver.com</t>
  </si>
  <si>
    <t>daikii@naver.com</t>
  </si>
  <si>
    <t>wlsl4258@hanmail.net</t>
  </si>
  <si>
    <t>popeyes2@hanmail.net</t>
  </si>
  <si>
    <t>auk0903@naver.com</t>
  </si>
  <si>
    <t>lhs0301@kakao.com</t>
  </si>
  <si>
    <t>su2774@nate.com</t>
  </si>
  <si>
    <t>mjhs77@naver.com</t>
  </si>
  <si>
    <t>2625577@gmail.com</t>
  </si>
  <si>
    <t>iloom0710@naver.com</t>
  </si>
  <si>
    <t>iloomgo@naver.com</t>
  </si>
  <si>
    <t>kuhj.iloom@gmail.com</t>
  </si>
  <si>
    <t>kianadol76@daum.net</t>
  </si>
  <si>
    <t>jungbok35@hanmail.net</t>
  </si>
  <si>
    <t>kslhyy@naver.com</t>
  </si>
  <si>
    <t>tohode@naver.com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</si>
</sst>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-&quot;₩&quot;* #,##0_-;\-&quot;₩&quot;* #,##0_-;_-&quot;₩&quot;* &quot;-&quot;_-;_-@_-"/>
    <numFmt numFmtId="41" formatCode="_-* #,##0_-;\-* #,##0_-;_-* &quot;-&quot;_-;_-@_-"/>
    <numFmt numFmtId="176" formatCode="_ * #,##0_ ;_ * \-#,##0_ ;_ * &quot;-&quot;_ ;_ @_ "/>
    <numFmt numFmtId="177" formatCode="_ * #,##0.00_ ;_ * \-#,##0.00_ ;_ * &quot;-&quot;??_ ;_ @_ "/>
    <numFmt numFmtId="178" formatCode="yyyy&quot;년&quot;\ m&quot;월&quot;\ d&quot;일&quot;;@"/>
    <numFmt numFmtId="179" formatCode="0_);[Red]\(0\)"/>
  </numFmts>
  <fonts count="23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11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12"/>
      <name val="Arial"/>
      <family val="2"/>
    </font>
    <font>
      <u/>
      <sz val="11"/>
      <color theme="10"/>
      <name val="맑은 고딕"/>
      <family val="3"/>
      <charset val="129"/>
      <scheme val="minor"/>
    </font>
    <font>
      <sz val="11"/>
      <name val="굴림"/>
      <family val="3"/>
      <charset val="129"/>
    </font>
    <font>
      <sz val="12"/>
      <name val="명조"/>
      <family val="3"/>
      <charset val="129"/>
    </font>
    <font>
      <sz val="8"/>
      <color theme="1"/>
      <name val="맑은 고딕"/>
      <family val="2"/>
      <charset val="129"/>
    </font>
    <font>
      <sz val="8"/>
      <color theme="1"/>
      <name val="맑은 고딕"/>
      <family val="3"/>
      <charset val="129"/>
    </font>
    <font>
      <sz val="10"/>
      <name val="바탕체"/>
      <family val="1"/>
      <charset val="129"/>
    </font>
    <font>
      <sz val="8"/>
      <name val="맑은 고딕"/>
      <family val="3"/>
      <charset val="129"/>
    </font>
    <font>
      <b/>
      <sz val="10"/>
      <name val="바탕체"/>
      <family val="1"/>
      <charset val="129"/>
    </font>
    <font>
      <b/>
      <sz val="16"/>
      <name val="바탕체"/>
      <family val="1"/>
      <charset val="129"/>
    </font>
    <font>
      <sz val="1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1"/>
      <name val="바탕체"/>
      <family val="1"/>
      <charset val="129"/>
    </font>
    <font>
      <b/>
      <sz val="11"/>
      <name val="바탕체"/>
      <family val="1"/>
      <charset val="129"/>
    </font>
    <font>
      <sz val="10"/>
      <color rgb="FF000000"/>
      <name val="바탕체"/>
      <family val="1"/>
      <charset val="129"/>
    </font>
    <font>
      <b/>
      <sz val="9"/>
      <color theme="1"/>
      <name val="맑은 고딕"/>
      <family val="3"/>
      <charset val="129"/>
      <scheme val="major"/>
    </font>
    <font>
      <sz val="9"/>
      <color theme="1"/>
      <name val="맑은 고딕"/>
      <family val="3"/>
      <charset val="129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9">
    <xf numFmtId="0" fontId="0" fillId="0" borderId="0">
      <alignment vertical="center"/>
    </xf>
    <xf numFmtId="0" fontId="3" fillId="0" borderId="0"/>
    <xf numFmtId="0" fontId="4" fillId="0" borderId="0"/>
    <xf numFmtId="41" fontId="4" fillId="0" borderId="0" applyFont="0" applyFill="0" applyBorder="0" applyAlignment="0" applyProtection="0"/>
    <xf numFmtId="0" fontId="5" fillId="0" borderId="0">
      <alignment vertical="center"/>
    </xf>
    <xf numFmtId="0" fontId="6" fillId="0" borderId="2" applyNumberFormat="0" applyAlignment="0" applyProtection="0">
      <alignment horizontal="left" vertical="center"/>
    </xf>
    <xf numFmtId="0" fontId="6" fillId="0" borderId="1">
      <alignment horizontal="left" vertical="center"/>
    </xf>
    <xf numFmtId="0" fontId="7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8" fillId="0" borderId="0"/>
    <xf numFmtId="41" fontId="5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9" fillId="0" borderId="0"/>
    <xf numFmtId="176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42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0" borderId="0"/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5" fillId="0" borderId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</cellStyleXfs>
  <cellXfs count="35">
    <xf numFmtId="0" fontId="0" fillId="0" borderId="0" xfId="0">
      <alignment vertical="center"/>
    </xf>
    <xf numFmtId="0" fontId="14" fillId="0" borderId="0" xfId="0" applyFont="1" applyAlignment="1">
      <alignment horizontal="left" vertical="center" indent="2"/>
    </xf>
    <xf numFmtId="0" fontId="17" fillId="0" borderId="0" xfId="4" applyFont="1">
      <alignment vertical="center"/>
    </xf>
    <xf numFmtId="0" fontId="16" fillId="0" borderId="0" xfId="4" applyFont="1" applyAlignment="1">
      <alignment horizontal="left" vertical="center" indent="1"/>
    </xf>
    <xf numFmtId="0" fontId="12" fillId="0" borderId="0" xfId="4" applyFont="1" applyAlignment="1">
      <alignment horizontal="center" vertical="center" wrapText="1"/>
    </xf>
    <xf numFmtId="0" fontId="12" fillId="0" borderId="0" xfId="4" applyFont="1">
      <alignment vertical="center"/>
    </xf>
    <xf numFmtId="0" fontId="14" fillId="0" borderId="0" xfId="0" applyFont="1" applyAlignment="1">
      <alignment horizontal="left" vertical="center"/>
    </xf>
    <xf numFmtId="0" fontId="12" fillId="0" borderId="0" xfId="4" applyFont="1" applyAlignment="1">
      <alignment horizontal="left" vertical="center" wrapText="1"/>
    </xf>
    <xf numFmtId="0" fontId="12" fillId="0" borderId="0" xfId="0" applyFont="1" applyAlignment="1">
      <alignment horizontal="left" vertical="center"/>
    </xf>
    <xf numFmtId="178" fontId="12" fillId="0" borderId="0" xfId="0" quotePrefix="1" applyNumberFormat="1" applyFont="1">
      <alignment vertical="center"/>
    </xf>
    <xf numFmtId="0" fontId="16" fillId="0" borderId="0" xfId="4" applyFont="1">
      <alignment vertical="center"/>
    </xf>
    <xf numFmtId="0" fontId="12" fillId="0" borderId="0" xfId="0" applyFont="1" applyAlignment="1">
      <alignment horizontal="left" vertical="center" indent="2"/>
    </xf>
    <xf numFmtId="0" fontId="12" fillId="0" borderId="0" xfId="0" applyFont="1" applyAlignment="1">
      <alignment horizontal="left" vertical="center" indent="1"/>
    </xf>
    <xf numFmtId="0" fontId="12" fillId="0" borderId="0" xfId="4" applyFont="1" applyAlignment="1">
      <alignment horizontal="left" vertical="center"/>
    </xf>
    <xf numFmtId="179" fontId="16" fillId="0" borderId="0" xfId="4" applyNumberFormat="1" applyFont="1">
      <alignment vertical="center"/>
    </xf>
    <xf numFmtId="0" fontId="18" fillId="0" borderId="0" xfId="4" applyFont="1">
      <alignment vertical="center"/>
    </xf>
    <xf numFmtId="0" fontId="19" fillId="0" borderId="0" xfId="4" applyFont="1">
      <alignment vertical="center"/>
    </xf>
    <xf numFmtId="0" fontId="20" fillId="0" borderId="0" xfId="4" applyFont="1">
      <alignment vertical="center"/>
    </xf>
    <xf numFmtId="0" fontId="12" fillId="0" borderId="0" xfId="4" applyFont="1" applyAlignment="1">
      <alignment horizontal="center" vertical="center"/>
    </xf>
    <xf numFmtId="0" fontId="12" fillId="0" borderId="0" xfId="4" quotePrefix="1" applyFont="1" applyAlignment="1">
      <alignment horizontal="center" vertical="center"/>
    </xf>
    <xf numFmtId="0" fontId="12" fillId="0" borderId="0" xfId="4" applyFont="1" applyAlignment="1">
      <alignment horizontal="center" vertical="center"/>
    </xf>
    <xf numFmtId="0" fontId="12" fillId="0" borderId="0" xfId="4" quotePrefix="1" applyFont="1" applyAlignment="1">
      <alignment vertical="center"/>
    </xf>
    <xf numFmtId="0" fontId="22" fillId="0" borderId="0" xfId="0" applyFont="1" applyAlignment="1">
      <alignment horizontal="center" vertical="center"/>
    </xf>
    <xf numFmtId="0" fontId="12" fillId="0" borderId="0" xfId="4" quotePrefix="1" applyFont="1" applyAlignment="1">
      <alignment horizontal="center" vertical="center"/>
    </xf>
    <xf numFmtId="0" fontId="22" fillId="2" borderId="0" xfId="0" applyFont="1" applyFill="1" applyAlignment="1">
      <alignment horizontal="center" vertical="center"/>
    </xf>
    <xf numFmtId="0" fontId="21" fillId="2" borderId="3" xfId="0" applyFont="1" applyFill="1" applyBorder="1" applyAlignment="1">
      <alignment horizontal="center" vertical="center"/>
    </xf>
    <xf numFmtId="0" fontId="22" fillId="2" borderId="3" xfId="0" applyFont="1" applyFill="1" applyBorder="1" applyAlignment="1">
      <alignment horizontal="center" vertical="center"/>
    </xf>
    <xf numFmtId="0" fontId="16" fillId="2" borderId="0" xfId="4" applyFont="1" applyFill="1" applyAlignment="1">
      <alignment horizontal="left" vertical="center" indent="1"/>
    </xf>
    <xf numFmtId="0" fontId="12" fillId="2" borderId="0" xfId="0" applyFont="1" applyFill="1" applyAlignment="1">
      <alignment horizontal="left" vertical="center" indent="1"/>
    </xf>
    <xf numFmtId="49" fontId="0" fillId="0" borderId="0" xfId="0" applyNumberFormat="1">
      <alignment vertical="center"/>
    </xf>
    <xf numFmtId="0" fontId="15" fillId="0" borderId="0" xfId="4" applyFont="1" applyAlignment="1">
      <alignment horizontal="center" vertical="center"/>
    </xf>
    <xf numFmtId="0" fontId="12" fillId="0" borderId="0" xfId="4" applyFont="1" applyAlignment="1">
      <alignment horizontal="center" vertical="center"/>
    </xf>
    <xf numFmtId="178" fontId="12" fillId="0" borderId="0" xfId="0" quotePrefix="1" applyNumberFormat="1" applyFont="1" applyAlignment="1">
      <alignment horizontal="right" vertical="center" wrapText="1"/>
    </xf>
    <xf numFmtId="0" fontId="12" fillId="0" borderId="0" xfId="4" quotePrefix="1" applyFont="1" applyAlignment="1">
      <alignment horizontal="right" vertical="center"/>
    </xf>
    <xf numFmtId="0" fontId="12" fillId="0" borderId="0" xfId="4" quotePrefix="1" applyFont="1" applyAlignment="1">
      <alignment horizontal="center" vertical="center"/>
    </xf>
  </cellXfs>
  <cellStyles count="89">
    <cellStyle name="Header1" xfId="5" xr:uid="{00000000-0005-0000-0000-000000000000}"/>
    <cellStyle name="Header2" xfId="6" xr:uid="{00000000-0005-0000-0000-000001000000}"/>
    <cellStyle name="백분율 2" xfId="12" xr:uid="{00000000-0005-0000-0000-000002000000}"/>
    <cellStyle name="백분율 2 2" xfId="34" xr:uid="{00000000-0005-0000-0000-000003000000}"/>
    <cellStyle name="백분율 2 2 2" xfId="49" xr:uid="{00000000-0005-0000-0000-000004000000}"/>
    <cellStyle name="백분율 2 3" xfId="50" xr:uid="{00000000-0005-0000-0000-000005000000}"/>
    <cellStyle name="백분율 2 4" xfId="48" xr:uid="{00000000-0005-0000-0000-000006000000}"/>
    <cellStyle name="백분율 3" xfId="13" xr:uid="{00000000-0005-0000-0000-000007000000}"/>
    <cellStyle name="백분율 3 2" xfId="35" xr:uid="{00000000-0005-0000-0000-000008000000}"/>
    <cellStyle name="백분율 3 2 2" xfId="52" xr:uid="{00000000-0005-0000-0000-000009000000}"/>
    <cellStyle name="백분율 3 3" xfId="53" xr:uid="{00000000-0005-0000-0000-00000A000000}"/>
    <cellStyle name="백분율 3 4" xfId="51" xr:uid="{00000000-0005-0000-0000-00000B000000}"/>
    <cellStyle name="쉼표 [0] 2" xfId="3" xr:uid="{00000000-0005-0000-0000-00000D000000}"/>
    <cellStyle name="쉼표 [0] 2 2" xfId="10" xr:uid="{00000000-0005-0000-0000-00000E000000}"/>
    <cellStyle name="쉼표 [0] 3" xfId="11" xr:uid="{00000000-0005-0000-0000-00000F000000}"/>
    <cellStyle name="쉼표 [0] 3 2" xfId="14" xr:uid="{00000000-0005-0000-0000-000010000000}"/>
    <cellStyle name="쉼표 [0] 3 3" xfId="15" xr:uid="{00000000-0005-0000-0000-000011000000}"/>
    <cellStyle name="쉼표 [0] 3 3 2" xfId="36" xr:uid="{00000000-0005-0000-0000-000012000000}"/>
    <cellStyle name="쉼표 [0] 3 3 2 2" xfId="55" xr:uid="{00000000-0005-0000-0000-000013000000}"/>
    <cellStyle name="쉼표 [0] 3 3 3" xfId="56" xr:uid="{00000000-0005-0000-0000-000014000000}"/>
    <cellStyle name="쉼표 [0] 3 3 4" xfId="54" xr:uid="{00000000-0005-0000-0000-000015000000}"/>
    <cellStyle name="쉼표 [0] 4" xfId="16" xr:uid="{00000000-0005-0000-0000-000016000000}"/>
    <cellStyle name="쉼표 [0] 4 2" xfId="37" xr:uid="{00000000-0005-0000-0000-000017000000}"/>
    <cellStyle name="쉼표 [0] 4 2 2" xfId="58" xr:uid="{00000000-0005-0000-0000-000018000000}"/>
    <cellStyle name="쉼표 [0] 4 3" xfId="59" xr:uid="{00000000-0005-0000-0000-000019000000}"/>
    <cellStyle name="쉼표 [0] 4 4" xfId="57" xr:uid="{00000000-0005-0000-0000-00001A000000}"/>
    <cellStyle name="쉼표 [0] 5" xfId="17" xr:uid="{00000000-0005-0000-0000-00001B000000}"/>
    <cellStyle name="쉼표 [0] 5 2" xfId="38" xr:uid="{00000000-0005-0000-0000-00001C000000}"/>
    <cellStyle name="쉼표 [0] 5 2 2" xfId="61" xr:uid="{00000000-0005-0000-0000-00001D000000}"/>
    <cellStyle name="쉼표 [0] 5 3" xfId="62" xr:uid="{00000000-0005-0000-0000-00001E000000}"/>
    <cellStyle name="쉼표 [0] 5 4" xfId="60" xr:uid="{00000000-0005-0000-0000-00001F000000}"/>
    <cellStyle name="쉼표 [0] 6" xfId="18" xr:uid="{00000000-0005-0000-0000-000020000000}"/>
    <cellStyle name="쉼표 [0] 6 2" xfId="39" xr:uid="{00000000-0005-0000-0000-000021000000}"/>
    <cellStyle name="쉼표 [0] 6 2 2" xfId="64" xr:uid="{00000000-0005-0000-0000-000022000000}"/>
    <cellStyle name="쉼표 [0] 6 3" xfId="65" xr:uid="{00000000-0005-0000-0000-000023000000}"/>
    <cellStyle name="쉼표 [0] 6 4" xfId="63" xr:uid="{00000000-0005-0000-0000-000024000000}"/>
    <cellStyle name="쉼표 [0] 7" xfId="19" xr:uid="{00000000-0005-0000-0000-000025000000}"/>
    <cellStyle name="쉼표 [0] 7 2" xfId="40" xr:uid="{00000000-0005-0000-0000-000026000000}"/>
    <cellStyle name="쉼표 [0] 7 2 2" xfId="67" xr:uid="{00000000-0005-0000-0000-000027000000}"/>
    <cellStyle name="쉼표 [0] 7 3" xfId="68" xr:uid="{00000000-0005-0000-0000-000028000000}"/>
    <cellStyle name="쉼표 [0] 7 4" xfId="66" xr:uid="{00000000-0005-0000-0000-000029000000}"/>
    <cellStyle name="쉼표 [0] 8" xfId="32" xr:uid="{00000000-0005-0000-0000-00002A000000}"/>
    <cellStyle name="쉼표 [0] 8 2" xfId="41" xr:uid="{00000000-0005-0000-0000-00002B000000}"/>
    <cellStyle name="쉼표 [0] 8 2 2" xfId="70" xr:uid="{00000000-0005-0000-0000-00002C000000}"/>
    <cellStyle name="쉼표 [0] 8 3" xfId="71" xr:uid="{00000000-0005-0000-0000-00002D000000}"/>
    <cellStyle name="쉼표 [0] 8 4" xfId="69" xr:uid="{00000000-0005-0000-0000-00002E000000}"/>
    <cellStyle name="자리수 - 유형3" xfId="20" xr:uid="{00000000-0005-0000-0000-00002F000000}"/>
    <cellStyle name="콤마 [0]_11월 영업진행현황" xfId="21" xr:uid="{00000000-0005-0000-0000-000030000000}"/>
    <cellStyle name="콤마_11월 영업진행현황" xfId="22" xr:uid="{00000000-0005-0000-0000-000031000000}"/>
    <cellStyle name="통화 [0] 2" xfId="23" xr:uid="{00000000-0005-0000-0000-000032000000}"/>
    <cellStyle name="표준" xfId="0" builtinId="0"/>
    <cellStyle name="표준 10" xfId="31" xr:uid="{00000000-0005-0000-0000-000034000000}"/>
    <cellStyle name="표준 10 2" xfId="42" xr:uid="{00000000-0005-0000-0000-000035000000}"/>
    <cellStyle name="표준 10 2 2" xfId="73" xr:uid="{00000000-0005-0000-0000-000036000000}"/>
    <cellStyle name="표준 10 3" xfId="74" xr:uid="{00000000-0005-0000-0000-000037000000}"/>
    <cellStyle name="표준 10 4" xfId="72" xr:uid="{00000000-0005-0000-0000-000038000000}"/>
    <cellStyle name="표준 11" xfId="33" xr:uid="{00000000-0005-0000-0000-000039000000}"/>
    <cellStyle name="표준 12" xfId="1" xr:uid="{00000000-0005-0000-0000-00003A000000}"/>
    <cellStyle name="표준 12 2" xfId="75" xr:uid="{00000000-0005-0000-0000-00003B000000}"/>
    <cellStyle name="표준 2" xfId="2" xr:uid="{00000000-0005-0000-0000-00003C000000}"/>
    <cellStyle name="표준 2 2" xfId="4" xr:uid="{00000000-0005-0000-0000-00003D000000}"/>
    <cellStyle name="표준 2 3" xfId="24" xr:uid="{00000000-0005-0000-0000-00003E000000}"/>
    <cellStyle name="표준 3" xfId="8" xr:uid="{00000000-0005-0000-0000-00003F000000}"/>
    <cellStyle name="표준 3 2" xfId="43" xr:uid="{00000000-0005-0000-0000-000040000000}"/>
    <cellStyle name="표준 3 2 2" xfId="77" xr:uid="{00000000-0005-0000-0000-000041000000}"/>
    <cellStyle name="표준 3 3" xfId="47" xr:uid="{00000000-0005-0000-0000-000042000000}"/>
    <cellStyle name="표준 3 3 2" xfId="78" xr:uid="{00000000-0005-0000-0000-000043000000}"/>
    <cellStyle name="표준 3 4" xfId="76" xr:uid="{00000000-0005-0000-0000-000044000000}"/>
    <cellStyle name="표준 4" xfId="9" xr:uid="{00000000-0005-0000-0000-000045000000}"/>
    <cellStyle name="표준 5" xfId="25" xr:uid="{00000000-0005-0000-0000-000046000000}"/>
    <cellStyle name="표준 5 2" xfId="26" xr:uid="{00000000-0005-0000-0000-000047000000}"/>
    <cellStyle name="표준 5 3" xfId="79" xr:uid="{00000000-0005-0000-0000-000048000000}"/>
    <cellStyle name="표준 6" xfId="27" xr:uid="{00000000-0005-0000-0000-000049000000}"/>
    <cellStyle name="표준 6 2" xfId="44" xr:uid="{00000000-0005-0000-0000-00004A000000}"/>
    <cellStyle name="표준 6 2 2" xfId="81" xr:uid="{00000000-0005-0000-0000-00004B000000}"/>
    <cellStyle name="표준 6 3" xfId="82" xr:uid="{00000000-0005-0000-0000-00004C000000}"/>
    <cellStyle name="표준 6 4" xfId="80" xr:uid="{00000000-0005-0000-0000-00004D000000}"/>
    <cellStyle name="표준 7" xfId="28" xr:uid="{00000000-0005-0000-0000-00004E000000}"/>
    <cellStyle name="표준 7 2" xfId="45" xr:uid="{00000000-0005-0000-0000-00004F000000}"/>
    <cellStyle name="표준 7 2 2" xfId="84" xr:uid="{00000000-0005-0000-0000-000050000000}"/>
    <cellStyle name="표준 7 3" xfId="85" xr:uid="{00000000-0005-0000-0000-000051000000}"/>
    <cellStyle name="표준 7 4" xfId="83" xr:uid="{00000000-0005-0000-0000-000052000000}"/>
    <cellStyle name="표준 8" xfId="29" xr:uid="{00000000-0005-0000-0000-000053000000}"/>
    <cellStyle name="표준 8 2" xfId="46" xr:uid="{00000000-0005-0000-0000-000054000000}"/>
    <cellStyle name="표준 8 2 2" xfId="87" xr:uid="{00000000-0005-0000-0000-000055000000}"/>
    <cellStyle name="표준 8 3" xfId="88" xr:uid="{00000000-0005-0000-0000-000056000000}"/>
    <cellStyle name="표준 8 4" xfId="86" xr:uid="{00000000-0005-0000-0000-000057000000}"/>
    <cellStyle name="표준 9" xfId="30" xr:uid="{00000000-0005-0000-0000-000058000000}"/>
    <cellStyle name="하이퍼링크 2" xfId="7" xr:uid="{00000000-0005-0000-0000-000059000000}"/>
  </cellStyles>
  <dxfs count="0"/>
  <tableStyles count="0" defaultTableStyle="TableStyleMedium2" defaultPivotStyle="PivotStyleLight16"/>
  <colors>
    <mruColors>
      <color rgb="FF0000FF"/>
      <color rgb="FFF9F999"/>
      <color rgb="FFF87D64"/>
      <color rgb="FFF2EE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io/Downloads/&#9733;&#51068;&#47352;%20&#45824;&#47532;&#51216;%20&#44228;&#50557;&#51221;&#49436;%20(2025&#45380;%20&#44228;&#50557;&#52572;&#51333;&#48376;)%20(2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P/Desktop/&#51648;&#49688;/&#9733;&#51068;&#47352;%20&#45824;&#47532;&#51216;%20&#44228;&#50557;&#51221;&#49436;%20(2025&#45380;%20&#44228;&#50557;&#52572;&#51333;&#48376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계약서"/>
      <sheetName val="약정서(수수료-투자b로드)"/>
      <sheetName val="약정서(수수료-투자b입점)"/>
      <sheetName val="약정서(수수료-일반bs)"/>
      <sheetName val="약정서(수수료-입점bs)"/>
      <sheetName val="약정서(CI,SI)"/>
      <sheetName val="약정서(개인정보)"/>
      <sheetName val="3D홈플래너 사용권계약서"/>
      <sheetName val="동반성장 및 청렴서약서"/>
      <sheetName val="계약체결용"/>
      <sheetName val="2503기준유통망"/>
      <sheetName val="25년계약체결용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3">
          <cell r="B3" t="str">
            <v>대리점명</v>
          </cell>
          <cell r="C3" t="str">
            <v>대리점유형</v>
          </cell>
          <cell r="D3" t="str">
            <v>24년 거래보증금 설정</v>
          </cell>
          <cell r="G3" t="str">
            <v>24거래보증금</v>
          </cell>
          <cell r="H3" t="str">
            <v>사업자명</v>
          </cell>
          <cell r="I3" t="str">
            <v>사업자번호</v>
          </cell>
          <cell r="J3" t="str">
            <v>대표</v>
          </cell>
          <cell r="K3" t="str">
            <v>주소</v>
          </cell>
        </row>
        <row r="4">
          <cell r="B4" t="str">
            <v>강릉4</v>
          </cell>
          <cell r="C4" t="str">
            <v>B/S-Shop</v>
          </cell>
          <cell r="D4" t="str">
            <v>현금</v>
          </cell>
          <cell r="E4" t="str">
            <v>이천만원</v>
          </cell>
          <cell r="F4" t="str">
            <v>20,000,000원</v>
          </cell>
          <cell r="G4" t="str">
            <v>이천만원 (\20,000,000원)</v>
          </cell>
          <cell r="H4" t="str">
            <v>일룸강릉브랜드샵(주)</v>
          </cell>
          <cell r="I4" t="str">
            <v>201-86-45638</v>
          </cell>
          <cell r="J4" t="str">
            <v>최 종 섭</v>
          </cell>
          <cell r="K4" t="str">
            <v>강원 강릉시 율곡로 3190</v>
          </cell>
        </row>
        <row r="5">
          <cell r="B5" t="str">
            <v>거제3</v>
          </cell>
          <cell r="C5" t="str">
            <v>B/S-Shop</v>
          </cell>
          <cell r="D5" t="str">
            <v>현금</v>
          </cell>
          <cell r="E5" t="str">
            <v>이천만원</v>
          </cell>
          <cell r="F5" t="str">
            <v>20,000,000원</v>
          </cell>
          <cell r="G5" t="str">
            <v>이천만원 (\20,000,000원)</v>
          </cell>
          <cell r="H5" t="str">
            <v>(주)일룸거제</v>
          </cell>
          <cell r="I5" t="str">
            <v>612-81-48524</v>
          </cell>
          <cell r="J5" t="str">
            <v>김 임 숙</v>
          </cell>
          <cell r="K5" t="str">
            <v>경남 거제시 수월동 1043-47</v>
          </cell>
        </row>
        <row r="6">
          <cell r="B6" t="str">
            <v>경주4</v>
          </cell>
          <cell r="C6" t="str">
            <v>B/S-Shop</v>
          </cell>
          <cell r="D6" t="str">
            <v>현금</v>
          </cell>
          <cell r="E6" t="str">
            <v>이천만원</v>
          </cell>
          <cell r="F6" t="str">
            <v>20,000,000원</v>
          </cell>
          <cell r="G6" t="str">
            <v>이천만원 (\20,000,000원)</v>
          </cell>
          <cell r="H6" t="str">
            <v>그린퍼니처</v>
          </cell>
          <cell r="I6" t="str">
            <v>505-09-65796</v>
          </cell>
          <cell r="J6" t="str">
            <v>신 도 철</v>
          </cell>
          <cell r="K6" t="str">
            <v>경북 경주시 원화로468, b동</v>
          </cell>
        </row>
        <row r="7">
          <cell r="B7" t="str">
            <v>구리남양주2</v>
          </cell>
          <cell r="C7" t="str">
            <v>B/S-Shop</v>
          </cell>
          <cell r="D7" t="str">
            <v>보증보험</v>
          </cell>
          <cell r="E7" t="str">
            <v>이천만원</v>
          </cell>
          <cell r="F7" t="str">
            <v>20,000,000원</v>
          </cell>
          <cell r="G7" t="str">
            <v>이천만원 (\20,000,000원)</v>
          </cell>
          <cell r="H7" t="str">
            <v>일룸 구리남양주점</v>
          </cell>
          <cell r="I7" t="str">
            <v>228-27-00532</v>
          </cell>
          <cell r="J7" t="str">
            <v>박 상 근</v>
          </cell>
          <cell r="K7" t="str">
            <v>경기 구리시 경춘로 286, 2,3,4층</v>
          </cell>
        </row>
        <row r="8">
          <cell r="B8" t="str">
            <v>구미5</v>
          </cell>
          <cell r="C8" t="str">
            <v>B/S-Shop</v>
          </cell>
          <cell r="D8" t="str">
            <v>현금</v>
          </cell>
          <cell r="E8" t="str">
            <v>이천만원</v>
          </cell>
          <cell r="F8" t="str">
            <v>20,000,000원</v>
          </cell>
          <cell r="G8" t="str">
            <v>이천만원 (\20,000,000원)</v>
          </cell>
          <cell r="H8" t="str">
            <v>일룸 가구 구미점</v>
          </cell>
          <cell r="I8" t="str">
            <v>283-05-01540</v>
          </cell>
          <cell r="J8" t="str">
            <v>김관우, 김동윤, 박정애</v>
          </cell>
          <cell r="K8" t="str">
            <v>경북 구미시 산업로28길 4</v>
          </cell>
        </row>
        <row r="9">
          <cell r="B9" t="str">
            <v>김포5</v>
          </cell>
          <cell r="C9" t="str">
            <v>B/S-Shop</v>
          </cell>
          <cell r="D9" t="str">
            <v>현금</v>
          </cell>
          <cell r="E9" t="str">
            <v>이천만원</v>
          </cell>
          <cell r="F9" t="str">
            <v>20,000,000원</v>
          </cell>
          <cell r="G9" t="str">
            <v>이천만원 (\20,000,000원)</v>
          </cell>
          <cell r="H9" t="str">
            <v>일룸김포점</v>
          </cell>
          <cell r="I9" t="str">
            <v>137-17-39033</v>
          </cell>
          <cell r="J9" t="str">
            <v>장 미 영</v>
          </cell>
          <cell r="K9" t="str">
            <v>경기 김포시 풍무동 27-4 1,2층</v>
          </cell>
        </row>
        <row r="10">
          <cell r="B10" t="str">
            <v>김해2</v>
          </cell>
          <cell r="C10" t="str">
            <v>B/S-Shop</v>
          </cell>
          <cell r="D10" t="str">
            <v>현금</v>
          </cell>
          <cell r="E10" t="str">
            <v>이천만원</v>
          </cell>
          <cell r="F10" t="str">
            <v>20,000,000원</v>
          </cell>
          <cell r="G10" t="str">
            <v>이천만원 (\20,000,000원)</v>
          </cell>
          <cell r="H10" t="str">
            <v>일룸 김해브랜드샵</v>
          </cell>
          <cell r="I10" t="str">
            <v>615-17-27736</v>
          </cell>
          <cell r="J10" t="str">
            <v>박 효 정</v>
          </cell>
          <cell r="K10" t="str">
            <v>경남 김해시 풍유동 47-3</v>
          </cell>
        </row>
        <row r="11">
          <cell r="B11" t="str">
            <v>달서5</v>
          </cell>
          <cell r="C11" t="str">
            <v>B/S-Shop</v>
          </cell>
          <cell r="D11" t="str">
            <v>보증보험</v>
          </cell>
          <cell r="E11" t="str">
            <v>이천만원</v>
          </cell>
          <cell r="F11" t="str">
            <v>20,000,000원</v>
          </cell>
          <cell r="G11" t="str">
            <v>이천만원 (\20,000,000원)</v>
          </cell>
          <cell r="H11" t="str">
            <v>일룸달서프리미엄샵</v>
          </cell>
          <cell r="I11" t="str">
            <v>514-19-58959</v>
          </cell>
          <cell r="J11" t="str">
            <v>서 미 경</v>
          </cell>
          <cell r="K11" t="str">
            <v>대구 달서구 조암로 200(유천동)</v>
          </cell>
        </row>
        <row r="12">
          <cell r="B12" t="str">
            <v>덕진2</v>
          </cell>
          <cell r="C12" t="str">
            <v>B/S-Shop</v>
          </cell>
          <cell r="D12" t="str">
            <v>현금</v>
          </cell>
          <cell r="E12" t="str">
            <v>이천만원</v>
          </cell>
          <cell r="F12" t="str">
            <v>20,000,000원</v>
          </cell>
          <cell r="G12" t="str">
            <v>이천만원 (\20,000,000원)</v>
          </cell>
          <cell r="H12" t="str">
            <v>일룸 덕진점</v>
          </cell>
          <cell r="I12" t="str">
            <v>418-06-94448</v>
          </cell>
          <cell r="J12" t="str">
            <v>유 수 정</v>
          </cell>
          <cell r="K12" t="str">
            <v>전북 전주시 덕진구 송천중앙로 6</v>
          </cell>
        </row>
        <row r="13">
          <cell r="B13" t="str">
            <v>마산6</v>
          </cell>
          <cell r="C13" t="str">
            <v>B/S-Shop</v>
          </cell>
          <cell r="D13" t="str">
            <v>현금</v>
          </cell>
          <cell r="E13" t="str">
            <v>이천만원</v>
          </cell>
          <cell r="F13" t="str">
            <v>20,000,000원</v>
          </cell>
          <cell r="G13" t="str">
            <v>이천만원 (\20,000,000원)</v>
          </cell>
          <cell r="H13" t="str">
            <v>퍼시스스마트OPC(극동)</v>
          </cell>
          <cell r="I13" t="str">
            <v>608-47-60393</v>
          </cell>
          <cell r="J13" t="str">
            <v>강 호 근</v>
          </cell>
          <cell r="K13" t="str">
            <v>경남 창원시 마산회원구 봉양로 187(봉암동)</v>
          </cell>
        </row>
        <row r="14">
          <cell r="B14" t="str">
            <v>봉선5</v>
          </cell>
          <cell r="C14" t="str">
            <v>B/S-Shop</v>
          </cell>
          <cell r="D14" t="str">
            <v>보증보험</v>
          </cell>
          <cell r="E14" t="str">
            <v>이천만원</v>
          </cell>
          <cell r="F14" t="str">
            <v>20,000,000원</v>
          </cell>
          <cell r="G14" t="str">
            <v>이천만원 (\20,000,000원)</v>
          </cell>
          <cell r="H14" t="str">
            <v>주식회사 일룸앤데스커</v>
          </cell>
          <cell r="I14" t="str">
            <v>408-88-02821</v>
          </cell>
          <cell r="J14" t="str">
            <v>조 평 호</v>
          </cell>
          <cell r="K14" t="str">
            <v>광주광역시 남구 봉선로 16 (주월동) 1층</v>
          </cell>
        </row>
        <row r="15">
          <cell r="B15" t="str">
            <v>부천3</v>
          </cell>
          <cell r="C15" t="str">
            <v>B/S-Shop</v>
          </cell>
          <cell r="D15" t="str">
            <v>현금</v>
          </cell>
          <cell r="E15" t="str">
            <v>이천만원</v>
          </cell>
          <cell r="F15" t="str">
            <v>20,000,000원</v>
          </cell>
          <cell r="G15" t="str">
            <v>이천만원 (\20,000,000원)</v>
          </cell>
          <cell r="H15" t="str">
            <v>일룸 부천점</v>
          </cell>
          <cell r="I15" t="str">
            <v>313-36-00088</v>
          </cell>
          <cell r="J15" t="str">
            <v>최 민 영</v>
          </cell>
          <cell r="K15" t="str">
            <v>경기 부천시 길주로 462</v>
          </cell>
        </row>
        <row r="16">
          <cell r="B16" t="str">
            <v>분당2</v>
          </cell>
          <cell r="C16" t="str">
            <v>B/S-Shop</v>
          </cell>
          <cell r="D16" t="str">
            <v>현금</v>
          </cell>
          <cell r="E16" t="str">
            <v>이천만원</v>
          </cell>
          <cell r="F16" t="str">
            <v>20,000,000원</v>
          </cell>
          <cell r="G16" t="str">
            <v>이천만원 (\20,000,000원)</v>
          </cell>
          <cell r="H16" t="str">
            <v>일룸분당점</v>
          </cell>
          <cell r="I16" t="str">
            <v>135-10-97912</v>
          </cell>
          <cell r="J16" t="str">
            <v>최 상 헌</v>
          </cell>
          <cell r="K16" t="str">
            <v>경기도 성남시 분당구 대왕판교로214</v>
          </cell>
        </row>
        <row r="17">
          <cell r="B17" t="str">
            <v>빛고을2</v>
          </cell>
          <cell r="C17" t="str">
            <v>B/S-Shop</v>
          </cell>
          <cell r="D17" t="str">
            <v>보증보험</v>
          </cell>
          <cell r="E17" t="str">
            <v>이천만원</v>
          </cell>
          <cell r="F17" t="str">
            <v>20,000,000원</v>
          </cell>
          <cell r="G17" t="str">
            <v>이천만원 (\20,000,000원)</v>
          </cell>
          <cell r="H17" t="str">
            <v>일룸굿모닝엠에스(주)</v>
          </cell>
          <cell r="I17" t="str">
            <v>410-86-88925</v>
          </cell>
          <cell r="J17" t="str">
            <v>최 정 우</v>
          </cell>
          <cell r="K17" t="str">
            <v>광주 광산구 하남대로 352 3층 일룸빛고을점</v>
          </cell>
        </row>
        <row r="18">
          <cell r="B18" t="str">
            <v>서대전3</v>
          </cell>
          <cell r="C18" t="str">
            <v>B/S-Shop</v>
          </cell>
          <cell r="D18" t="str">
            <v>현금</v>
          </cell>
          <cell r="E18" t="str">
            <v>이천만원</v>
          </cell>
          <cell r="F18" t="str">
            <v>20,000,000원</v>
          </cell>
          <cell r="G18" t="str">
            <v>이천만원 (\20,000,000원)</v>
          </cell>
          <cell r="H18" t="str">
            <v>일룸서대전점2</v>
          </cell>
          <cell r="I18" t="str">
            <v>305-29-60452</v>
          </cell>
          <cell r="J18" t="str">
            <v>김 영 애</v>
          </cell>
          <cell r="K18" t="str">
            <v>대전 중구 중앙로 8 (문화동, 가구갤러리 8층)</v>
          </cell>
        </row>
        <row r="19">
          <cell r="B19" t="str">
            <v>서산3</v>
          </cell>
          <cell r="C19" t="str">
            <v>B/S-Shop</v>
          </cell>
          <cell r="D19" t="str">
            <v>현금</v>
          </cell>
          <cell r="E19" t="str">
            <v>이천만원</v>
          </cell>
          <cell r="F19" t="str">
            <v>20,000,000원</v>
          </cell>
          <cell r="G19" t="str">
            <v>이천만원 (\20,000,000원)</v>
          </cell>
          <cell r="H19" t="str">
            <v>일룸 서산점</v>
          </cell>
          <cell r="I19" t="str">
            <v>310-02-95975</v>
          </cell>
          <cell r="J19" t="str">
            <v>김 문 자</v>
          </cell>
          <cell r="K19" t="str">
            <v>충남 서산시 서해로 3449(석림동)</v>
          </cell>
        </row>
        <row r="20">
          <cell r="B20" t="str">
            <v>세종2</v>
          </cell>
          <cell r="C20" t="str">
            <v>B/S-Shop</v>
          </cell>
          <cell r="D20" t="str">
            <v>현금</v>
          </cell>
          <cell r="E20" t="str">
            <v>이천만원</v>
          </cell>
          <cell r="F20" t="str">
            <v>20,000,000원</v>
          </cell>
          <cell r="G20" t="str">
            <v>이천만원 (\20,000,000원)</v>
          </cell>
          <cell r="H20" t="str">
            <v>일룸 세종점</v>
          </cell>
          <cell r="I20" t="str">
            <v>760-33-00129</v>
          </cell>
          <cell r="J20" t="str">
            <v>박정나, 이상연</v>
          </cell>
          <cell r="K20" t="str">
            <v>세종 아름동 1313 정원타워 3,4층</v>
          </cell>
        </row>
        <row r="21">
          <cell r="B21" t="str">
            <v>수성5</v>
          </cell>
          <cell r="C21" t="str">
            <v>B/S-Shop</v>
          </cell>
          <cell r="D21" t="str">
            <v>현금</v>
          </cell>
          <cell r="E21" t="str">
            <v>이천만원</v>
          </cell>
          <cell r="F21" t="str">
            <v>20,000,000원</v>
          </cell>
          <cell r="G21" t="str">
            <v>이천만원 (\20,000,000원)</v>
          </cell>
          <cell r="H21" t="str">
            <v>일룸수성점</v>
          </cell>
          <cell r="I21" t="str">
            <v>502-21-75604</v>
          </cell>
          <cell r="J21" t="str">
            <v>조진희, 차인호</v>
          </cell>
          <cell r="K21" t="str">
            <v>대구 수성구 희망로 152</v>
          </cell>
        </row>
        <row r="22">
          <cell r="B22" t="str">
            <v>순천4</v>
          </cell>
          <cell r="C22" t="str">
            <v>B/S-Shop</v>
          </cell>
          <cell r="D22" t="str">
            <v>현금</v>
          </cell>
          <cell r="E22" t="str">
            <v>이천만원</v>
          </cell>
          <cell r="F22" t="str">
            <v>20,000,000원</v>
          </cell>
          <cell r="G22" t="str">
            <v>이천만원 (\20,000,000원)</v>
          </cell>
          <cell r="H22" t="str">
            <v>주식회사 일룸</v>
          </cell>
          <cell r="I22" t="str">
            <v>142-88-00388</v>
          </cell>
          <cell r="J22" t="str">
            <v>김 대 현</v>
          </cell>
          <cell r="K22" t="str">
            <v>전남 순천시 중앙로 118</v>
          </cell>
        </row>
        <row r="23">
          <cell r="B23" t="str">
            <v>신도림3</v>
          </cell>
          <cell r="C23" t="str">
            <v>B/S-Shop</v>
          </cell>
          <cell r="D23" t="str">
            <v>보증보험</v>
          </cell>
          <cell r="E23" t="str">
            <v>이천만원</v>
          </cell>
          <cell r="F23" t="str">
            <v>20,000,000원</v>
          </cell>
          <cell r="G23" t="str">
            <v>이천만원 (\20,000,000원)</v>
          </cell>
          <cell r="H23" t="str">
            <v>일룸(신도림 테크노마트점)</v>
          </cell>
          <cell r="I23" t="str">
            <v>113-22-86081</v>
          </cell>
          <cell r="J23" t="str">
            <v>오 승 균</v>
          </cell>
          <cell r="K23" t="str">
            <v>서울 구로구 새말로 97 신도림테크노마트 4층</v>
          </cell>
        </row>
        <row r="24">
          <cell r="B24" t="str">
            <v>안동5</v>
          </cell>
          <cell r="C24" t="str">
            <v>B/S-Shop</v>
          </cell>
          <cell r="D24" t="str">
            <v>현금</v>
          </cell>
          <cell r="E24" t="str">
            <v>이천만원</v>
          </cell>
          <cell r="F24" t="str">
            <v>20,000,000원</v>
          </cell>
          <cell r="G24" t="str">
            <v>이천만원 (\20,000,000원)</v>
          </cell>
          <cell r="H24" t="str">
            <v>일룸안동점</v>
          </cell>
          <cell r="I24" t="str">
            <v>511-08-44988</v>
          </cell>
          <cell r="J24" t="str">
            <v>조현주, 박주홍</v>
          </cell>
          <cell r="K24" t="str">
            <v>경북 안동시 하이마로 151</v>
          </cell>
        </row>
        <row r="25">
          <cell r="B25" t="str">
            <v>안산상록수2</v>
          </cell>
          <cell r="C25" t="str">
            <v>B/S-Shop</v>
          </cell>
          <cell r="D25" t="str">
            <v>현금</v>
          </cell>
          <cell r="E25" t="str">
            <v>이천만원</v>
          </cell>
          <cell r="F25" t="str">
            <v>20,000,000원</v>
          </cell>
          <cell r="G25" t="str">
            <v>이천만원 (\20,000,000원)</v>
          </cell>
          <cell r="H25" t="str">
            <v>일룸안산상록수점</v>
          </cell>
          <cell r="I25" t="str">
            <v>207-04-55609</v>
          </cell>
          <cell r="J25" t="str">
            <v>노 금 철</v>
          </cell>
          <cell r="K25" t="str">
            <v>경기 안산시 상록구 용신로 451-1(본오동,1,2층)</v>
          </cell>
        </row>
        <row r="26">
          <cell r="B26" t="str">
            <v>양산3</v>
          </cell>
          <cell r="C26" t="str">
            <v>B/S-Shop</v>
          </cell>
          <cell r="D26" t="str">
            <v>현금</v>
          </cell>
          <cell r="E26" t="str">
            <v>이천만원</v>
          </cell>
          <cell r="F26" t="str">
            <v>20,000,000원</v>
          </cell>
          <cell r="G26" t="str">
            <v>이천만원 (\20,000,000원)</v>
          </cell>
          <cell r="H26" t="str">
            <v>일룸양산점</v>
          </cell>
          <cell r="I26" t="str">
            <v>463-03-00712</v>
          </cell>
          <cell r="J26" t="str">
            <v>남 명 현</v>
          </cell>
          <cell r="K26" t="str">
            <v>경남 양산시 물금읍 황산로 497</v>
          </cell>
        </row>
        <row r="27">
          <cell r="B27" t="str">
            <v>연제4</v>
          </cell>
          <cell r="C27" t="str">
            <v>B/S-Shop</v>
          </cell>
          <cell r="D27" t="str">
            <v>현금</v>
          </cell>
          <cell r="E27" t="str">
            <v>이천만원</v>
          </cell>
          <cell r="F27" t="str">
            <v>20,000,000원</v>
          </cell>
          <cell r="G27" t="str">
            <v>이천만원 (\20,000,000원)</v>
          </cell>
          <cell r="H27" t="str">
            <v>(주)일룸연제점</v>
          </cell>
          <cell r="I27" t="str">
            <v>388-87-01424</v>
          </cell>
          <cell r="J27" t="str">
            <v>이 철 희</v>
          </cell>
          <cell r="K27" t="str">
            <v>부산 연제구 거제대로 297, 2~3층</v>
          </cell>
        </row>
        <row r="28">
          <cell r="B28" t="str">
            <v>원주3</v>
          </cell>
          <cell r="C28" t="str">
            <v>B/S-Shop</v>
          </cell>
          <cell r="D28" t="str">
            <v>현금</v>
          </cell>
          <cell r="E28" t="str">
            <v>이천만원</v>
          </cell>
          <cell r="F28" t="str">
            <v>20,000,000원</v>
          </cell>
          <cell r="G28" t="str">
            <v>이천만원 (\20,000,000원)</v>
          </cell>
          <cell r="H28" t="str">
            <v>일룸원주점</v>
          </cell>
          <cell r="I28" t="str">
            <v>224-07-71963</v>
          </cell>
          <cell r="J28" t="str">
            <v>이 정 복</v>
          </cell>
          <cell r="K28" t="str">
            <v>강원 원주시 호저면 원문로 668-9 만종가구단지 2층</v>
          </cell>
        </row>
        <row r="29">
          <cell r="B29" t="str">
            <v>의왕2</v>
          </cell>
          <cell r="C29" t="str">
            <v>B/S-Shop</v>
          </cell>
          <cell r="D29" t="str">
            <v>현금</v>
          </cell>
          <cell r="E29" t="str">
            <v>이천만원</v>
          </cell>
          <cell r="F29" t="str">
            <v>20,000,000원</v>
          </cell>
          <cell r="G29" t="str">
            <v>이천만원 (\20,000,000원)</v>
          </cell>
          <cell r="H29" t="str">
            <v>일룸의왕점</v>
          </cell>
          <cell r="I29" t="str">
            <v>123-09-37161</v>
          </cell>
          <cell r="J29" t="str">
            <v>남 창 현</v>
          </cell>
          <cell r="K29" t="str">
            <v>경기 의왕시 경수대로 411</v>
          </cell>
        </row>
        <row r="30">
          <cell r="B30" t="str">
            <v>의정부8</v>
          </cell>
          <cell r="C30" t="str">
            <v>B/S-Shop</v>
          </cell>
          <cell r="D30" t="str">
            <v>현금</v>
          </cell>
          <cell r="E30" t="str">
            <v>이천만원</v>
          </cell>
          <cell r="F30" t="str">
            <v>20,000,000원</v>
          </cell>
          <cell r="G30" t="str">
            <v>이천만원 (\20,000,000원)</v>
          </cell>
          <cell r="H30" t="str">
            <v>일룸의정부브랜드샵</v>
          </cell>
          <cell r="I30" t="str">
            <v>550-88-00221</v>
          </cell>
          <cell r="J30" t="str">
            <v>이 경 숙</v>
          </cell>
          <cell r="K30" t="str">
            <v>경기 의정부시 민락로 397</v>
          </cell>
        </row>
        <row r="31">
          <cell r="B31" t="str">
            <v>인천중앙2</v>
          </cell>
          <cell r="C31" t="str">
            <v>B/S-Shop</v>
          </cell>
          <cell r="D31" t="str">
            <v>보증보험</v>
          </cell>
          <cell r="E31" t="str">
            <v>이천만원</v>
          </cell>
          <cell r="F31" t="str">
            <v>20,000,000원</v>
          </cell>
          <cell r="G31" t="str">
            <v>이천만원 (\20,000,000원)</v>
          </cell>
          <cell r="H31" t="str">
            <v>(주)알루컴 인천점</v>
          </cell>
          <cell r="I31" t="str">
            <v>105-85-41701</v>
          </cell>
          <cell r="J31" t="str">
            <v>이 종 균</v>
          </cell>
          <cell r="K31" t="str">
            <v>인천 남동구 인주대로 644</v>
          </cell>
        </row>
        <row r="32">
          <cell r="B32" t="str">
            <v>일산킨텍스</v>
          </cell>
          <cell r="C32" t="str">
            <v>B/S-Shop</v>
          </cell>
          <cell r="D32" t="str">
            <v>보증보험</v>
          </cell>
          <cell r="E32" t="str">
            <v>이천만원</v>
          </cell>
          <cell r="F32" t="str">
            <v>20,000,000원</v>
          </cell>
          <cell r="G32" t="str">
            <v>이천만원 (\20,000,000원)</v>
          </cell>
          <cell r="H32" t="str">
            <v>(주)플랜 디</v>
          </cell>
          <cell r="I32" t="str">
            <v>670-81-01506</v>
          </cell>
          <cell r="J32" t="str">
            <v>김정은, 안중협</v>
          </cell>
          <cell r="K32" t="str">
            <v>경기도 고양시 일산서구 탄중로 120, 1~2동(덕이동)</v>
          </cell>
        </row>
        <row r="33">
          <cell r="B33" t="str">
            <v>전군2</v>
          </cell>
          <cell r="C33" t="str">
            <v>B/S-Shop</v>
          </cell>
          <cell r="D33" t="str">
            <v>보증보험</v>
          </cell>
          <cell r="E33" t="str">
            <v>이천만원</v>
          </cell>
          <cell r="F33" t="str">
            <v>20,000,000원</v>
          </cell>
          <cell r="G33" t="str">
            <v>이천만원 (\20,000,000원)</v>
          </cell>
          <cell r="H33" t="str">
            <v>일룸전군점</v>
          </cell>
          <cell r="I33" t="str">
            <v>403-03-30193</v>
          </cell>
          <cell r="J33" t="str">
            <v>안 상 준</v>
          </cell>
          <cell r="K33" t="str">
            <v>전북 김제시 백구면 영상3길 28-26</v>
          </cell>
        </row>
        <row r="34">
          <cell r="B34" t="str">
            <v>중화산4</v>
          </cell>
          <cell r="C34" t="str">
            <v>B/S-Shop</v>
          </cell>
          <cell r="D34" t="str">
            <v>보증보험</v>
          </cell>
          <cell r="E34" t="str">
            <v>이천만원</v>
          </cell>
          <cell r="F34" t="str">
            <v>20,000,000원</v>
          </cell>
          <cell r="G34" t="str">
            <v>이천만원 (\20,000,000원)</v>
          </cell>
          <cell r="H34" t="str">
            <v>일룸중화산점</v>
          </cell>
          <cell r="I34" t="str">
            <v>402-20-78721</v>
          </cell>
          <cell r="J34" t="str">
            <v>양 유 진</v>
          </cell>
          <cell r="K34" t="str">
            <v>전북 전주시 완산구 중화산동2가 528-6</v>
          </cell>
        </row>
        <row r="35">
          <cell r="B35" t="str">
            <v>진주2</v>
          </cell>
          <cell r="C35" t="str">
            <v>B/S-Shop</v>
          </cell>
          <cell r="D35" t="str">
            <v>현금</v>
          </cell>
          <cell r="E35" t="str">
            <v>이천만원</v>
          </cell>
          <cell r="F35" t="str">
            <v>20,000,000원</v>
          </cell>
          <cell r="G35" t="str">
            <v>이천만원 (\20,000,000원)</v>
          </cell>
          <cell r="H35" t="str">
            <v>일룸진주점</v>
          </cell>
          <cell r="I35" t="str">
            <v>613-06-76176</v>
          </cell>
          <cell r="J35" t="str">
            <v>김지융, 김현실</v>
          </cell>
          <cell r="K35" t="str">
            <v>경남 진주시 진주대로 638(가좌동)</v>
          </cell>
        </row>
        <row r="36">
          <cell r="B36" t="str">
            <v>창원3</v>
          </cell>
          <cell r="C36" t="str">
            <v>B/S-Shop</v>
          </cell>
          <cell r="D36" t="str">
            <v>현금</v>
          </cell>
          <cell r="E36" t="str">
            <v>이천만원</v>
          </cell>
          <cell r="F36" t="str">
            <v>20,000,000원</v>
          </cell>
          <cell r="G36" t="str">
            <v>이천만원 (\20,000,000원)</v>
          </cell>
          <cell r="H36" t="str">
            <v>(주)창원퍼시스</v>
          </cell>
          <cell r="I36" t="str">
            <v>609-81-43386</v>
          </cell>
          <cell r="J36" t="str">
            <v>정 진 환</v>
          </cell>
          <cell r="K36" t="str">
            <v>경상남도 창원시 의창구 창원대로 360</v>
          </cell>
        </row>
        <row r="37">
          <cell r="B37" t="str">
            <v>천안불당3</v>
          </cell>
          <cell r="C37" t="str">
            <v>B/S-Shop</v>
          </cell>
          <cell r="D37" t="str">
            <v>현금</v>
          </cell>
          <cell r="E37" t="str">
            <v>이천만원</v>
          </cell>
          <cell r="F37" t="str">
            <v>20,000,000원</v>
          </cell>
          <cell r="G37" t="str">
            <v>이천만원 (\20,000,000원)</v>
          </cell>
          <cell r="H37" t="str">
            <v>일룸천안불당점</v>
          </cell>
          <cell r="I37" t="str">
            <v>416-22-25834</v>
          </cell>
          <cell r="J37" t="str">
            <v>김은미, 김정숙</v>
          </cell>
          <cell r="K37" t="str">
            <v>충남 천안시 서북구 검은들3길 36 (불당동)</v>
          </cell>
        </row>
        <row r="38">
          <cell r="B38" t="str">
            <v>청남3</v>
          </cell>
          <cell r="C38" t="str">
            <v>B/S-Shop</v>
          </cell>
          <cell r="D38" t="str">
            <v>보증보험</v>
          </cell>
          <cell r="E38" t="str">
            <v>이천만원</v>
          </cell>
          <cell r="F38" t="str">
            <v>20,000,000원</v>
          </cell>
          <cell r="G38" t="str">
            <v>이천만원 (\20,000,000원)</v>
          </cell>
          <cell r="H38" t="str">
            <v>일룸청남점</v>
          </cell>
          <cell r="I38" t="str">
            <v>745-10-00252</v>
          </cell>
          <cell r="J38" t="str">
            <v>박 종 상</v>
          </cell>
          <cell r="K38" t="str">
            <v>충북 청주시 서원구 남이면 가구단지길 21-3 청남가구단지 105호</v>
          </cell>
        </row>
        <row r="39">
          <cell r="B39" t="str">
            <v>청주6</v>
          </cell>
          <cell r="C39" t="str">
            <v>B/S-Shop</v>
          </cell>
          <cell r="D39" t="str">
            <v>보증보험</v>
          </cell>
          <cell r="E39" t="str">
            <v>이천만원</v>
          </cell>
          <cell r="F39" t="str">
            <v>20,000,000원</v>
          </cell>
          <cell r="G39" t="str">
            <v>이천만원 (\20,000,000원)</v>
          </cell>
          <cell r="H39" t="str">
            <v>(주)조은파트너스</v>
          </cell>
          <cell r="I39" t="str">
            <v>335-87-02787</v>
          </cell>
          <cell r="J39" t="str">
            <v>최 현 수</v>
          </cell>
          <cell r="K39" t="str">
            <v>충북 청주시 상당구 용암동 1587</v>
          </cell>
        </row>
        <row r="40">
          <cell r="B40" t="str">
            <v>청주중앙4</v>
          </cell>
          <cell r="C40" t="str">
            <v>B/S-Shop</v>
          </cell>
          <cell r="D40" t="str">
            <v>현금</v>
          </cell>
          <cell r="E40" t="str">
            <v>이천만원</v>
          </cell>
          <cell r="F40" t="str">
            <v>20,000,000원</v>
          </cell>
          <cell r="G40" t="str">
            <v>이천만원 (\20,000,000원)</v>
          </cell>
          <cell r="H40" t="str">
            <v>(주)일룸청주중앙점</v>
          </cell>
          <cell r="I40" t="str">
            <v>785-86-00352</v>
          </cell>
          <cell r="J40" t="str">
            <v>함 지 연</v>
          </cell>
          <cell r="K40" t="str">
            <v>충북 청주시 흥덕구 강서로 55, 2층</v>
          </cell>
        </row>
        <row r="41">
          <cell r="B41" t="str">
            <v>춘천3</v>
          </cell>
          <cell r="C41" t="str">
            <v>B/S-Shop</v>
          </cell>
          <cell r="D41" t="str">
            <v>현금</v>
          </cell>
          <cell r="E41" t="str">
            <v>이천만원</v>
          </cell>
          <cell r="F41" t="str">
            <v>20,000,000원</v>
          </cell>
          <cell r="G41" t="str">
            <v>이천만원 (\20,000,000원)</v>
          </cell>
          <cell r="H41" t="str">
            <v>퍼시스춘천전시장</v>
          </cell>
          <cell r="I41" t="str">
            <v>221-02-56686</v>
          </cell>
          <cell r="J41" t="str">
            <v>이 신 구</v>
          </cell>
          <cell r="K41" t="str">
            <v>강원 춘천시 동면 만천리 700번지</v>
          </cell>
        </row>
        <row r="42">
          <cell r="B42" t="str">
            <v>태릉묵동6</v>
          </cell>
          <cell r="C42" t="str">
            <v>B/S-Shop</v>
          </cell>
          <cell r="D42" t="str">
            <v>현금</v>
          </cell>
          <cell r="E42" t="str">
            <v>이천만원</v>
          </cell>
          <cell r="F42" t="str">
            <v>20,000,000원</v>
          </cell>
          <cell r="G42" t="str">
            <v>이천만원 (\20,000,000원)</v>
          </cell>
          <cell r="H42" t="str">
            <v>(주)아이룸텍</v>
          </cell>
          <cell r="I42" t="str">
            <v>778-87-02591</v>
          </cell>
          <cell r="J42" t="str">
            <v>오 중 현</v>
          </cell>
          <cell r="K42" t="str">
            <v>서울 중랑구 동일로 898</v>
          </cell>
        </row>
        <row r="43">
          <cell r="B43" t="str">
            <v>평택4</v>
          </cell>
          <cell r="C43" t="str">
            <v>B/S-Shop</v>
          </cell>
          <cell r="D43" t="str">
            <v>현금</v>
          </cell>
          <cell r="E43" t="str">
            <v>이천만원</v>
          </cell>
          <cell r="F43" t="str">
            <v>20,000,000원</v>
          </cell>
          <cell r="G43" t="str">
            <v>이천만원 (\20,000,000원)</v>
          </cell>
          <cell r="H43" t="str">
            <v>코티지</v>
          </cell>
          <cell r="I43" t="str">
            <v>120-87-13514</v>
          </cell>
          <cell r="J43" t="str">
            <v>김 은 미</v>
          </cell>
          <cell r="K43" t="str">
            <v>경기 안성시 공도읍 서동대로 3924, 102호</v>
          </cell>
        </row>
        <row r="44">
          <cell r="B44" t="str">
            <v>포항2</v>
          </cell>
          <cell r="C44" t="str">
            <v>B/S-Shop</v>
          </cell>
          <cell r="D44" t="str">
            <v>현금</v>
          </cell>
          <cell r="E44" t="str">
            <v>이천만원</v>
          </cell>
          <cell r="F44" t="str">
            <v>20,000,000원</v>
          </cell>
          <cell r="G44" t="str">
            <v>이천만원 (\20,000,000원)</v>
          </cell>
          <cell r="H44" t="str">
            <v>일룸포항점</v>
          </cell>
          <cell r="I44" t="str">
            <v>506-04-65571</v>
          </cell>
          <cell r="J44" t="str">
            <v>김 미 경</v>
          </cell>
          <cell r="K44" t="str">
            <v>경북 포항시 북구 환호로 75</v>
          </cell>
        </row>
        <row r="45">
          <cell r="B45" t="str">
            <v>포항중앙2</v>
          </cell>
          <cell r="C45" t="str">
            <v>B/S-Shop</v>
          </cell>
          <cell r="D45" t="str">
            <v>현금</v>
          </cell>
          <cell r="E45" t="str">
            <v>이천만원</v>
          </cell>
          <cell r="F45" t="str">
            <v>20,000,000원</v>
          </cell>
          <cell r="G45" t="str">
            <v>이천만원 (\20,000,000원)</v>
          </cell>
          <cell r="H45" t="str">
            <v>일룸포항중앙점</v>
          </cell>
          <cell r="I45" t="str">
            <v>506-14-15162</v>
          </cell>
          <cell r="J45" t="str">
            <v>신 현 정</v>
          </cell>
          <cell r="K45" t="str">
            <v>경북 포항시 북구 중흥로213번길 49</v>
          </cell>
        </row>
        <row r="46">
          <cell r="B46" t="str">
            <v>하단3</v>
          </cell>
          <cell r="C46" t="str">
            <v>B/S-Shop</v>
          </cell>
          <cell r="D46" t="str">
            <v>현금</v>
          </cell>
          <cell r="E46" t="str">
            <v>이천만원</v>
          </cell>
          <cell r="F46" t="str">
            <v>20,000,000원</v>
          </cell>
          <cell r="G46" t="str">
            <v>이천만원 (\20,000,000원)</v>
          </cell>
          <cell r="H46" t="str">
            <v>일룸부산하단점</v>
          </cell>
          <cell r="I46" t="str">
            <v>617-29-91066</v>
          </cell>
          <cell r="J46" t="str">
            <v>우 영 숙</v>
          </cell>
          <cell r="K46" t="str">
            <v>부산광역시 사하구 낙동남로 1359 (하단동)</v>
          </cell>
        </row>
        <row r="47">
          <cell r="B47" t="str">
            <v>LXH목동</v>
          </cell>
          <cell r="C47" t="str">
            <v>투자형 B-Shop (로드)</v>
          </cell>
          <cell r="D47" t="str">
            <v>보증보험</v>
          </cell>
          <cell r="E47" t="str">
            <v>이천만원</v>
          </cell>
          <cell r="F47" t="str">
            <v>20,000,000원</v>
          </cell>
          <cell r="G47" t="str">
            <v>이천만원 (\20,000,000원)</v>
          </cell>
          <cell r="H47" t="str">
            <v>일룸 홈플러스강서점</v>
          </cell>
          <cell r="I47" t="str">
            <v>493-27-00631</v>
          </cell>
          <cell r="J47" t="str">
            <v>구 현 정</v>
          </cell>
          <cell r="K47" t="str">
            <v>서울 강서구 화곡로 398, 3층 일룸 홈플러스 강서점</v>
          </cell>
        </row>
        <row r="48">
          <cell r="B48" t="str">
            <v>LXH창원</v>
          </cell>
          <cell r="C48" t="str">
            <v>투자형 B-Shop (로드)</v>
          </cell>
          <cell r="D48" t="str">
            <v>현금</v>
          </cell>
          <cell r="E48" t="str">
            <v>이천만원</v>
          </cell>
          <cell r="F48" t="str">
            <v>20,000,000원</v>
          </cell>
          <cell r="G48" t="str">
            <v>이천만원 (\20,000,000원)</v>
          </cell>
          <cell r="H48" t="str">
            <v>(주)창원퍼시스</v>
          </cell>
          <cell r="I48" t="str">
            <v>609-81-43386</v>
          </cell>
          <cell r="J48" t="str">
            <v>정 진 환</v>
          </cell>
          <cell r="K48" t="str">
            <v>경상남도 창원시 의창구 창원대로 360</v>
          </cell>
        </row>
        <row r="49">
          <cell r="B49" t="str">
            <v>강동6</v>
          </cell>
          <cell r="C49" t="str">
            <v>투자형 B-Shop (로드)</v>
          </cell>
          <cell r="D49" t="str">
            <v>현금</v>
          </cell>
          <cell r="E49" t="str">
            <v>이천만원</v>
          </cell>
          <cell r="F49" t="str">
            <v>20,000,000원</v>
          </cell>
          <cell r="G49" t="str">
            <v>이천만원 (\20,000,000원)</v>
          </cell>
          <cell r="H49" t="str">
            <v>일룸강동점</v>
          </cell>
          <cell r="I49" t="str">
            <v>633-29-00529</v>
          </cell>
          <cell r="J49" t="str">
            <v>장 규 호</v>
          </cell>
          <cell r="K49" t="str">
            <v>서울 강동구 천호대로 1136</v>
          </cell>
        </row>
        <row r="50">
          <cell r="B50" t="str">
            <v>광천5</v>
          </cell>
          <cell r="C50" t="str">
            <v>투자형 B-Shop (로드)</v>
          </cell>
          <cell r="D50" t="str">
            <v>보증보험</v>
          </cell>
          <cell r="E50" t="str">
            <v>이천만원</v>
          </cell>
          <cell r="F50" t="str">
            <v>20,000,000원</v>
          </cell>
          <cell r="G50" t="str">
            <v>이천만원 (\20,000,000원)</v>
          </cell>
          <cell r="H50" t="str">
            <v>일룸 광천점</v>
          </cell>
          <cell r="I50" t="str">
            <v>410-03-23351</v>
          </cell>
          <cell r="J50" t="str">
            <v>조 평 호</v>
          </cell>
          <cell r="K50" t="str">
            <v>광주광역시 서구 무진대로 956(농성동, 퍼시스광주센터)</v>
          </cell>
        </row>
        <row r="51">
          <cell r="B51" t="str">
            <v>대전도안3</v>
          </cell>
          <cell r="C51" t="str">
            <v>투자형 B-Shop (로드)</v>
          </cell>
          <cell r="D51" t="str">
            <v>현금</v>
          </cell>
          <cell r="E51" t="str">
            <v>이천만원</v>
          </cell>
          <cell r="F51" t="str">
            <v>20,000,000원</v>
          </cell>
          <cell r="G51" t="str">
            <v>이천만원 (\20,000,000원)</v>
          </cell>
          <cell r="H51" t="str">
            <v>일룸 도안3점</v>
          </cell>
          <cell r="I51" t="str">
            <v>314-27-63783</v>
          </cell>
          <cell r="J51" t="str">
            <v>류 대 열</v>
          </cell>
          <cell r="K51" t="str">
            <v>대전 서구 가수원동 1061 리더스프라자 B동 2~3층</v>
          </cell>
        </row>
        <row r="52">
          <cell r="B52" t="str">
            <v>안양</v>
          </cell>
          <cell r="C52" t="str">
            <v>투자형 B-Shop (로드)</v>
          </cell>
          <cell r="D52" t="str">
            <v>보증보험</v>
          </cell>
          <cell r="E52" t="str">
            <v>이천만원</v>
          </cell>
          <cell r="F52" t="str">
            <v>20,000,000원</v>
          </cell>
          <cell r="G52" t="str">
            <v>이천만원 (\20,000,000원)</v>
          </cell>
          <cell r="H52" t="str">
            <v>일룸 안양점</v>
          </cell>
          <cell r="I52" t="str">
            <v>334-37-00928</v>
          </cell>
          <cell r="J52" t="str">
            <v>윤 기 언</v>
          </cell>
          <cell r="K52" t="str">
            <v>경기도 안양시 만안구 안양로 238</v>
          </cell>
        </row>
        <row r="53">
          <cell r="B53" t="str">
            <v>울산4</v>
          </cell>
          <cell r="C53" t="str">
            <v>투자형 B-Shop (로드)</v>
          </cell>
          <cell r="D53" t="str">
            <v>현금</v>
          </cell>
          <cell r="E53" t="str">
            <v>이천만원</v>
          </cell>
          <cell r="F53" t="str">
            <v>20,000,000원</v>
          </cell>
          <cell r="G53" t="str">
            <v>이천만원 (\20,000,000원)</v>
          </cell>
          <cell r="H53" t="str">
            <v>일룸 울산점</v>
          </cell>
          <cell r="I53" t="str">
            <v>301-45-04477</v>
          </cell>
          <cell r="J53" t="str">
            <v>조 정 혁</v>
          </cell>
          <cell r="K53" t="str">
            <v>울산 남구 삼산로 361</v>
          </cell>
        </row>
        <row r="54">
          <cell r="B54" t="str">
            <v>인천검단</v>
          </cell>
          <cell r="C54" t="str">
            <v>투자형 B-Shop (로드)</v>
          </cell>
          <cell r="D54" t="str">
            <v>보증보험</v>
          </cell>
          <cell r="E54" t="str">
            <v>이천만원</v>
          </cell>
          <cell r="F54" t="str">
            <v>20,000,000원</v>
          </cell>
          <cell r="G54" t="str">
            <v>이천만원 (\20,000,000원)</v>
          </cell>
          <cell r="H54" t="str">
            <v>일룸 인천 검단점</v>
          </cell>
          <cell r="I54" t="str">
            <v>872-03-02670</v>
          </cell>
          <cell r="J54" t="str">
            <v>유 종 규</v>
          </cell>
          <cell r="K54" t="str">
            <v>인천 서구 원당대로 847, 4층</v>
          </cell>
        </row>
        <row r="55">
          <cell r="B55" t="str">
            <v>제주5</v>
          </cell>
          <cell r="C55" t="str">
            <v>투자형 B-Shop (로드)</v>
          </cell>
          <cell r="D55" t="str">
            <v>보증보험</v>
          </cell>
          <cell r="E55" t="str">
            <v>이천만원</v>
          </cell>
          <cell r="F55" t="str">
            <v>20,000,000원</v>
          </cell>
          <cell r="G55" t="str">
            <v>이천만원 (\20,000,000원)</v>
          </cell>
          <cell r="H55" t="str">
            <v>주식회사 일룸앤데스커</v>
          </cell>
          <cell r="I55" t="str">
            <v>408-88-02821</v>
          </cell>
          <cell r="J55" t="str">
            <v>조 평 호</v>
          </cell>
          <cell r="K55" t="str">
            <v>광주광역시 남구 봉선로 16 (주월동) 1층</v>
          </cell>
        </row>
        <row r="56">
          <cell r="B56" t="str">
            <v>천안신방3</v>
          </cell>
          <cell r="C56" t="str">
            <v>투자형 B-Shop (로드)</v>
          </cell>
          <cell r="D56" t="str">
            <v>현금</v>
          </cell>
          <cell r="E56" t="str">
            <v>이천만원</v>
          </cell>
          <cell r="F56" t="str">
            <v>20,000,000원</v>
          </cell>
          <cell r="G56" t="str">
            <v>이천만원 (\20,000,000원)</v>
          </cell>
          <cell r="H56" t="str">
            <v>일룸천안신방점</v>
          </cell>
          <cell r="I56" t="str">
            <v>312-20-61970</v>
          </cell>
          <cell r="J56" t="str">
            <v>이 준 범</v>
          </cell>
          <cell r="K56" t="str">
            <v>충남 천안시 동남구 신촌로 6, 2층</v>
          </cell>
        </row>
        <row r="57">
          <cell r="B57" t="str">
            <v>강서2</v>
          </cell>
          <cell r="C57" t="str">
            <v>투자형 B-Shop (입점)</v>
          </cell>
          <cell r="D57" t="str">
            <v>보증보험</v>
          </cell>
          <cell r="E57" t="str">
            <v>이천만원</v>
          </cell>
          <cell r="F57" t="str">
            <v>20,000,000원</v>
          </cell>
          <cell r="G57" t="str">
            <v>이천만원 (\20,000,000원)</v>
          </cell>
          <cell r="H57" t="str">
            <v>일룸 홈플러스강서점</v>
          </cell>
          <cell r="I57" t="str">
            <v>493-27-00631</v>
          </cell>
          <cell r="J57" t="str">
            <v>구 현 정</v>
          </cell>
          <cell r="K57" t="str">
            <v>서울 강서구 화곡로 398, 3층 일룸 홈플러스 강서점</v>
          </cell>
        </row>
        <row r="58">
          <cell r="B58" t="str">
            <v>기흥4</v>
          </cell>
          <cell r="C58" t="str">
            <v>투자형 B-Shop (입점)</v>
          </cell>
          <cell r="D58" t="str">
            <v>현금</v>
          </cell>
          <cell r="E58" t="str">
            <v>이천만원</v>
          </cell>
          <cell r="F58" t="str">
            <v>20,000,000원</v>
          </cell>
          <cell r="G58" t="str">
            <v>이천만원 (\20,000,000원)</v>
          </cell>
          <cell r="H58" t="str">
            <v>일룸 기흥점</v>
          </cell>
          <cell r="I58" t="str">
            <v>213-26-00566</v>
          </cell>
          <cell r="J58" t="str">
            <v>호 현 숙</v>
          </cell>
          <cell r="K58" t="str">
            <v>경기 용인시 기흥구 신고매로 59 리빙파워센터 B2</v>
          </cell>
        </row>
        <row r="59">
          <cell r="B59" t="str">
            <v>롯데광명</v>
          </cell>
          <cell r="C59" t="str">
            <v>투자형 B-Shop (입점)</v>
          </cell>
          <cell r="D59" t="str">
            <v>보증보험</v>
          </cell>
          <cell r="E59" t="str">
            <v>이천만원</v>
          </cell>
          <cell r="F59" t="str">
            <v>20,000,000원</v>
          </cell>
          <cell r="G59" t="str">
            <v>이천만원 (\20,000,000원)</v>
          </cell>
          <cell r="H59" t="str">
            <v>일룸 롯데광명점</v>
          </cell>
          <cell r="I59" t="str">
            <v>215-22-64855</v>
          </cell>
          <cell r="J59" t="str">
            <v>조 선 영</v>
          </cell>
          <cell r="K59" t="str">
            <v>경기 광명시 일직로 17 롯데프리미엄아울렛 광명점 4층</v>
          </cell>
        </row>
        <row r="60">
          <cell r="B60" t="str">
            <v>롯데동부산2</v>
          </cell>
          <cell r="C60" t="str">
            <v>투자형 B-Shop (입점)</v>
          </cell>
          <cell r="D60" t="str">
            <v>보증보험</v>
          </cell>
          <cell r="E60" t="str">
            <v>이천만원</v>
          </cell>
          <cell r="F60" t="str">
            <v>20,000,000원</v>
          </cell>
          <cell r="G60" t="str">
            <v>이천만원 (\20,000,000원)</v>
          </cell>
          <cell r="H60" t="str">
            <v>일룸 롯데동부산점</v>
          </cell>
          <cell r="I60" t="str">
            <v>710-50-00456</v>
          </cell>
          <cell r="J60" t="str">
            <v>안 율</v>
          </cell>
          <cell r="K60" t="str">
            <v>부산 기장군 동부산관광로 8 메종동부산 롯데몰동부산점 B동 1층</v>
          </cell>
        </row>
        <row r="61">
          <cell r="B61" t="str">
            <v>롯데동탄2</v>
          </cell>
          <cell r="C61" t="str">
            <v>투자형 B-Shop (입점)</v>
          </cell>
          <cell r="D61" t="str">
            <v>보증보험</v>
          </cell>
          <cell r="E61" t="str">
            <v>이천만원</v>
          </cell>
          <cell r="F61" t="str">
            <v>20,000,000원</v>
          </cell>
          <cell r="G61" t="str">
            <v>이천만원 (\20,000,000원)</v>
          </cell>
          <cell r="H61" t="str">
            <v>일룸 롯데동탄점</v>
          </cell>
          <cell r="I61" t="str">
            <v>836-07-02556</v>
          </cell>
          <cell r="J61" t="str">
            <v>박 철 홍</v>
          </cell>
          <cell r="K61" t="str">
            <v>경기도 화성시 동탄역로 160, 4층(오산동, 롯데백화점)</v>
          </cell>
        </row>
        <row r="62">
          <cell r="B62" t="str">
            <v>롯데청량리</v>
          </cell>
          <cell r="C62" t="str">
            <v>투자형 B-Shop (입점)</v>
          </cell>
          <cell r="D62" t="str">
            <v>현금</v>
          </cell>
          <cell r="E62" t="str">
            <v>이천만원</v>
          </cell>
          <cell r="F62" t="str">
            <v>20,000,000원</v>
          </cell>
          <cell r="G62" t="str">
            <v>이천만원 (\20,000,000원)</v>
          </cell>
          <cell r="H62" t="str">
            <v>(주)아이룸텍</v>
          </cell>
          <cell r="I62" t="str">
            <v>778-87-02591</v>
          </cell>
          <cell r="J62" t="str">
            <v>오 중 현</v>
          </cell>
          <cell r="K62" t="str">
            <v>서울 중랑구 동일로 898</v>
          </cell>
        </row>
        <row r="63">
          <cell r="B63" t="str">
            <v>롯데평촌</v>
          </cell>
          <cell r="C63" t="str">
            <v>투자형 B-Shop (입점)</v>
          </cell>
          <cell r="D63" t="str">
            <v>현금</v>
          </cell>
          <cell r="E63" t="str">
            <v>이천만원</v>
          </cell>
          <cell r="F63" t="str">
            <v>20,000,000원</v>
          </cell>
          <cell r="G63" t="str">
            <v>이천만원 (\20,000,000원)</v>
          </cell>
          <cell r="H63" t="str">
            <v>일룸평촌전시장</v>
          </cell>
          <cell r="I63" t="str">
            <v>138-10-79418</v>
          </cell>
          <cell r="J63" t="str">
            <v>황 봉 국</v>
          </cell>
          <cell r="K63" t="str">
            <v>경기도 안양시 동안구 시민대로 180, 6층(호계동, 롯데백화점 평촌점)</v>
          </cell>
        </row>
        <row r="64">
          <cell r="B64" t="str">
            <v>송도4</v>
          </cell>
          <cell r="C64" t="str">
            <v>투자형 B-Shop (입점)</v>
          </cell>
          <cell r="D64" t="str">
            <v>보증보험</v>
          </cell>
          <cell r="E64" t="str">
            <v>이천만원</v>
          </cell>
          <cell r="F64" t="str">
            <v>20,000,000원</v>
          </cell>
          <cell r="G64" t="str">
            <v>이천만원 (\20,000,000원)</v>
          </cell>
          <cell r="H64" t="str">
            <v>(주)알루컴 인천점</v>
          </cell>
          <cell r="I64" t="str">
            <v>105-85-41701</v>
          </cell>
          <cell r="J64" t="str">
            <v>이 종 균</v>
          </cell>
          <cell r="K64" t="str">
            <v>인천 남동구 인주대로 644</v>
          </cell>
        </row>
        <row r="65">
          <cell r="B65" t="str">
            <v>스타필드고양</v>
          </cell>
          <cell r="C65" t="str">
            <v>투자형 B-Shop (입점)</v>
          </cell>
          <cell r="D65" t="str">
            <v>보증보험</v>
          </cell>
          <cell r="E65" t="str">
            <v>이천만원</v>
          </cell>
          <cell r="F65" t="str">
            <v>20,000,000원</v>
          </cell>
          <cell r="G65" t="str">
            <v>이천만원 (\20,000,000원)</v>
          </cell>
          <cell r="H65" t="str">
            <v>페드라(일룸 스타필드고양)</v>
          </cell>
          <cell r="I65" t="str">
            <v>417-10-72598</v>
          </cell>
          <cell r="J65" t="str">
            <v>안 중 우</v>
          </cell>
          <cell r="K65" t="str">
            <v>경기도 고양시 덕양구 고양대로 1955, b1층</v>
          </cell>
        </row>
        <row r="66">
          <cell r="B66" t="str">
            <v>스타필드수원(6층)</v>
          </cell>
          <cell r="C66" t="str">
            <v>투자형 B-Shop (입점)</v>
          </cell>
          <cell r="D66" t="str">
            <v>현금</v>
          </cell>
          <cell r="E66" t="str">
            <v>이천만원</v>
          </cell>
          <cell r="F66" t="str">
            <v>20,000,000원</v>
          </cell>
          <cell r="G66" t="str">
            <v>이천만원 (\20,000,000원)</v>
          </cell>
          <cell r="H66" t="str">
            <v>주식회사 일룸수원중앙점</v>
          </cell>
          <cell r="I66" t="str">
            <v>609-87-00128</v>
          </cell>
          <cell r="J66" t="str">
            <v>석 옥 련</v>
          </cell>
          <cell r="K66" t="str">
            <v>경기 수원시 장안구 수성로 175, 6층 6210호(정자동, 스타필드수원)</v>
          </cell>
        </row>
        <row r="67">
          <cell r="B67" t="str">
            <v>스타필드수원키즈(3층)</v>
          </cell>
          <cell r="C67" t="str">
            <v>투자형 B-Shop (입점)</v>
          </cell>
          <cell r="D67" t="str">
            <v>현금</v>
          </cell>
          <cell r="E67" t="str">
            <v>이천만원</v>
          </cell>
          <cell r="F67" t="str">
            <v>20,000,000원</v>
          </cell>
          <cell r="G67" t="str">
            <v>이천만원 (\20,000,000원)</v>
          </cell>
          <cell r="H67" t="str">
            <v>주식회사 일룸수원중앙점</v>
          </cell>
          <cell r="I67" t="str">
            <v>609-87-00128</v>
          </cell>
          <cell r="J67" t="str">
            <v>석 옥 련</v>
          </cell>
          <cell r="K67" t="str">
            <v>경기 수원시 장안구 수성로 175, 6층 6210호(정자동, 스타필드수원)</v>
          </cell>
        </row>
        <row r="68">
          <cell r="B68" t="str">
            <v>신세계대전</v>
          </cell>
          <cell r="C68" t="str">
            <v>투자형 B-Shop (입점)</v>
          </cell>
          <cell r="D68" t="str">
            <v>현금</v>
          </cell>
          <cell r="E68" t="str">
            <v>이천만원</v>
          </cell>
          <cell r="F68" t="str">
            <v>20,000,000원</v>
          </cell>
          <cell r="G68" t="str">
            <v>이천만원 (\20,000,000원)</v>
          </cell>
          <cell r="H68" t="str">
            <v>일룸 도안3점</v>
          </cell>
          <cell r="I68" t="str">
            <v>314-27-63783</v>
          </cell>
          <cell r="J68" t="str">
            <v>류 대 열</v>
          </cell>
          <cell r="K68" t="str">
            <v>대전 서구 가수원동 1061 리더스프라자 B동 2~3층</v>
          </cell>
        </row>
        <row r="69">
          <cell r="B69" t="str">
            <v>신세계시흥</v>
          </cell>
          <cell r="C69" t="str">
            <v>투자형 B-Shop (입점)</v>
          </cell>
          <cell r="D69" t="str">
            <v>현금</v>
          </cell>
          <cell r="E69" t="str">
            <v>이천만원</v>
          </cell>
          <cell r="F69" t="str">
            <v>20,000,000원</v>
          </cell>
          <cell r="G69" t="str">
            <v>이천만원 (\20,000,000원)</v>
          </cell>
          <cell r="H69" t="str">
            <v>일룸신세계시흥점</v>
          </cell>
          <cell r="I69" t="str">
            <v>133-11-84607</v>
          </cell>
          <cell r="J69" t="str">
            <v>정 혜 진</v>
          </cell>
          <cell r="K69" t="str">
            <v>경기도 시흥시 서해안로 699, 2층 2921호(정왕동, 시흥프리미엄아울렛)</v>
          </cell>
        </row>
        <row r="70">
          <cell r="B70" t="str">
            <v>신세계파주2</v>
          </cell>
          <cell r="C70" t="str">
            <v>투자형 B-Shop (입점)</v>
          </cell>
          <cell r="D70" t="str">
            <v>보증보험</v>
          </cell>
          <cell r="E70" t="str">
            <v>이천만원</v>
          </cell>
          <cell r="F70" t="str">
            <v>20,000,000원</v>
          </cell>
          <cell r="G70" t="str">
            <v>이천만원 (\20,000,000원)</v>
          </cell>
          <cell r="H70" t="str">
            <v>토호드</v>
          </cell>
          <cell r="I70" t="str">
            <v>837-15-00255</v>
          </cell>
          <cell r="J70" t="str">
            <v>안 중 협</v>
          </cell>
          <cell r="K70" t="str">
            <v>경기도 고양시 일산동구 월드고양로 102-33, 2층</v>
          </cell>
        </row>
      </sheetData>
      <sheetData sheetId="10" refreshError="1">
        <row r="1">
          <cell r="B1" t="str">
            <v>2503대리점</v>
          </cell>
          <cell r="C1" t="str">
            <v>24 유통망구분</v>
          </cell>
          <cell r="D1" t="str">
            <v>특이사항</v>
          </cell>
          <cell r="E1" t="str">
            <v>25체결기준</v>
          </cell>
        </row>
        <row r="2">
          <cell r="B2" t="str">
            <v>태릉묵동6</v>
          </cell>
          <cell r="C2" t="str">
            <v>B/S-Shop</v>
          </cell>
          <cell r="E2" t="str">
            <v>B/S-Shop</v>
          </cell>
        </row>
        <row r="3">
          <cell r="B3" t="str">
            <v>경주4</v>
          </cell>
          <cell r="C3" t="str">
            <v>B/S-Shop</v>
          </cell>
          <cell r="E3" t="str">
            <v>B/S-Shop</v>
          </cell>
        </row>
        <row r="4">
          <cell r="B4" t="str">
            <v>구미5</v>
          </cell>
          <cell r="C4" t="str">
            <v>B/S-Shop</v>
          </cell>
          <cell r="E4" t="str">
            <v>B/S-Shop</v>
          </cell>
        </row>
        <row r="5">
          <cell r="B5" t="str">
            <v>달서5</v>
          </cell>
          <cell r="C5" t="str">
            <v>B/S-Shop</v>
          </cell>
          <cell r="E5" t="str">
            <v>B/S-Shop</v>
          </cell>
        </row>
        <row r="6">
          <cell r="B6" t="str">
            <v>수성5</v>
          </cell>
          <cell r="C6" t="str">
            <v>B/S-Shop</v>
          </cell>
          <cell r="E6" t="str">
            <v>B/S-Shop</v>
          </cell>
        </row>
        <row r="7">
          <cell r="B7" t="str">
            <v>안동5</v>
          </cell>
          <cell r="C7" t="str">
            <v>B/S-Shop</v>
          </cell>
          <cell r="E7" t="str">
            <v>B/S-Shop</v>
          </cell>
        </row>
        <row r="8">
          <cell r="B8" t="str">
            <v>포항2</v>
          </cell>
          <cell r="C8" t="str">
            <v>B/S-Shop</v>
          </cell>
          <cell r="E8" t="str">
            <v>B/S-Shop</v>
          </cell>
        </row>
        <row r="9">
          <cell r="B9" t="str">
            <v>포항중앙2</v>
          </cell>
          <cell r="C9" t="str">
            <v>B/S-Shop</v>
          </cell>
          <cell r="E9" t="str">
            <v>B/S-Shop</v>
          </cell>
        </row>
        <row r="10">
          <cell r="B10" t="str">
            <v>스타필드고양</v>
          </cell>
          <cell r="C10" t="str">
            <v>투자형 B-Shop (입점)</v>
          </cell>
          <cell r="E10" t="str">
            <v>투자형 B-Shop (입점)</v>
          </cell>
        </row>
        <row r="11">
          <cell r="B11" t="str">
            <v>신세계파주2</v>
          </cell>
          <cell r="C11" t="str">
            <v>투자형 B-Shop (입점)</v>
          </cell>
          <cell r="E11" t="str">
            <v>투자형 B-Shop (입점)</v>
          </cell>
        </row>
        <row r="12">
          <cell r="B12" t="str">
            <v>일산킨텍스</v>
          </cell>
          <cell r="C12" t="str">
            <v>B/S-Shop</v>
          </cell>
          <cell r="E12" t="str">
            <v>B/S-Shop</v>
          </cell>
        </row>
        <row r="13">
          <cell r="B13" t="str">
            <v>강동6</v>
          </cell>
          <cell r="C13" t="str">
            <v>투자형 B-Shop (로드)</v>
          </cell>
          <cell r="E13" t="str">
            <v>투자형 B-Shop (로드)</v>
          </cell>
        </row>
        <row r="14">
          <cell r="B14" t="str">
            <v>롯데광명</v>
          </cell>
          <cell r="C14" t="str">
            <v>투자형 B-Shop (입점)</v>
          </cell>
          <cell r="E14" t="str">
            <v>투자형 B-Shop (입점)</v>
          </cell>
        </row>
        <row r="15">
          <cell r="B15" t="str">
            <v>안산상록수2</v>
          </cell>
          <cell r="C15" t="str">
            <v>B/S-Shop</v>
          </cell>
          <cell r="E15" t="str">
            <v>B/S-Shop</v>
          </cell>
        </row>
        <row r="16">
          <cell r="B16" t="str">
            <v>안양</v>
          </cell>
          <cell r="C16" t="str">
            <v>투자형 B-Shop (로드)</v>
          </cell>
          <cell r="E16" t="str">
            <v>투자형 B-Shop (로드)</v>
          </cell>
        </row>
        <row r="17">
          <cell r="B17" t="str">
            <v>기흥4</v>
          </cell>
          <cell r="C17" t="str">
            <v>투자형 B-Shop (입점)</v>
          </cell>
          <cell r="E17" t="str">
            <v>투자형 B-Shop (입점)</v>
          </cell>
        </row>
        <row r="18">
          <cell r="B18" t="str">
            <v>롯데동탄2</v>
          </cell>
          <cell r="C18" t="str">
            <v>투자형 B-Shop (입점)</v>
          </cell>
          <cell r="D18" t="str">
            <v>유형변경</v>
          </cell>
          <cell r="E18" t="str">
            <v>b/s-shop (입점)</v>
          </cell>
        </row>
        <row r="19">
          <cell r="B19" t="str">
            <v>롯데평촌</v>
          </cell>
          <cell r="C19" t="str">
            <v>투자형 B-Shop (입점)</v>
          </cell>
          <cell r="E19" t="str">
            <v>투자형 B-Shop (입점)</v>
          </cell>
        </row>
        <row r="20">
          <cell r="B20" t="str">
            <v>분당2</v>
          </cell>
          <cell r="C20" t="str">
            <v>B/S-Shop</v>
          </cell>
          <cell r="E20" t="str">
            <v>B/S-Shop</v>
          </cell>
        </row>
        <row r="21">
          <cell r="B21" t="str">
            <v>평택4</v>
          </cell>
          <cell r="C21" t="str">
            <v>B/S-Shop</v>
          </cell>
          <cell r="E21" t="str">
            <v>B/S-Shop</v>
          </cell>
        </row>
        <row r="22">
          <cell r="B22" t="str">
            <v>스타필드수원(6층)</v>
          </cell>
          <cell r="C22" t="str">
            <v>투자형 B-Shop (입점)</v>
          </cell>
          <cell r="E22" t="str">
            <v>투자형 B-Shop (입점)</v>
          </cell>
        </row>
        <row r="23">
          <cell r="B23" t="str">
            <v>스타필드수원키즈(3층)</v>
          </cell>
          <cell r="C23" t="str">
            <v>투자형 B-Shop (입점)</v>
          </cell>
          <cell r="E23" t="str">
            <v>투자형 B-Shop (입점)</v>
          </cell>
        </row>
        <row r="24">
          <cell r="B24" t="str">
            <v>롯데안산(팝업)</v>
          </cell>
          <cell r="C24" t="e">
            <v>#N/A</v>
          </cell>
          <cell r="D24" t="str">
            <v>새로생김</v>
          </cell>
          <cell r="E24" t="str">
            <v>b/s-shop (입점)</v>
          </cell>
        </row>
        <row r="25">
          <cell r="B25" t="str">
            <v>롯데청량리</v>
          </cell>
          <cell r="C25" t="str">
            <v>투자형 B-Shop (입점)</v>
          </cell>
          <cell r="D25" t="str">
            <v>유형변경</v>
          </cell>
          <cell r="E25" t="str">
            <v>b/s-shop (입점)</v>
          </cell>
        </row>
        <row r="26">
          <cell r="B26" t="str">
            <v>롯데미아</v>
          </cell>
          <cell r="C26" t="e">
            <v>#N/A</v>
          </cell>
          <cell r="D26" t="str">
            <v>새로생김</v>
          </cell>
          <cell r="E26" t="str">
            <v>b/s-shop (입점)</v>
          </cell>
        </row>
        <row r="27">
          <cell r="B27" t="str">
            <v>대전도안3</v>
          </cell>
          <cell r="C27" t="str">
            <v>투자형 B-Shop (로드)</v>
          </cell>
          <cell r="E27" t="str">
            <v>투자형 B-Shop (로드)</v>
          </cell>
        </row>
        <row r="28">
          <cell r="B28" t="str">
            <v>서대전3</v>
          </cell>
          <cell r="C28" t="str">
            <v>B/S-Shop</v>
          </cell>
          <cell r="E28" t="str">
            <v>B/S-Shop</v>
          </cell>
        </row>
        <row r="29">
          <cell r="B29" t="str">
            <v>서산3</v>
          </cell>
          <cell r="C29" t="str">
            <v>B/S-Shop</v>
          </cell>
          <cell r="E29" t="str">
            <v>B/S-Shop</v>
          </cell>
        </row>
        <row r="30">
          <cell r="B30" t="str">
            <v>세종2</v>
          </cell>
          <cell r="C30" t="str">
            <v>B/S-Shop</v>
          </cell>
          <cell r="E30" t="str">
            <v>B/S-Shop</v>
          </cell>
        </row>
        <row r="31">
          <cell r="B31" t="str">
            <v>천안신방3</v>
          </cell>
          <cell r="C31" t="str">
            <v>투자형 B-Shop (로드)</v>
          </cell>
          <cell r="E31" t="str">
            <v>투자형 B-Shop (로드)</v>
          </cell>
        </row>
        <row r="32">
          <cell r="B32" t="str">
            <v>천안불당3</v>
          </cell>
          <cell r="C32" t="str">
            <v>B/S-Shop</v>
          </cell>
          <cell r="E32" t="str">
            <v>B/S-Shop</v>
          </cell>
        </row>
        <row r="33">
          <cell r="B33" t="str">
            <v>청남3</v>
          </cell>
          <cell r="C33" t="str">
            <v>B/S-Shop</v>
          </cell>
          <cell r="E33" t="str">
            <v>B/S-Shop</v>
          </cell>
        </row>
        <row r="34">
          <cell r="B34" t="str">
            <v>청주6</v>
          </cell>
          <cell r="C34" t="str">
            <v>B/S-Shop</v>
          </cell>
          <cell r="E34" t="str">
            <v>B/S-Shop</v>
          </cell>
        </row>
        <row r="35">
          <cell r="B35" t="str">
            <v>청주중앙4</v>
          </cell>
          <cell r="C35" t="str">
            <v>B/S-Shop</v>
          </cell>
          <cell r="E35" t="str">
            <v>B/S-Shop</v>
          </cell>
        </row>
        <row r="36">
          <cell r="B36" t="str">
            <v>신세계대전(팝업)</v>
          </cell>
          <cell r="C36" t="e">
            <v>#N/A</v>
          </cell>
          <cell r="D36" t="str">
            <v>왜지</v>
          </cell>
          <cell r="E36" t="str">
            <v>투자형 B-Shop (입점)</v>
          </cell>
        </row>
        <row r="37">
          <cell r="B37" t="str">
            <v>광천5</v>
          </cell>
          <cell r="C37" t="str">
            <v>투자형 B-Shop (로드)</v>
          </cell>
          <cell r="E37" t="str">
            <v>투자형 B-Shop (로드)</v>
          </cell>
        </row>
        <row r="38">
          <cell r="B38" t="str">
            <v>덕진2</v>
          </cell>
          <cell r="C38" t="str">
            <v>B/S-Shop</v>
          </cell>
          <cell r="E38" t="str">
            <v>B/S-Shop</v>
          </cell>
        </row>
        <row r="39">
          <cell r="B39" t="str">
            <v>봉선5</v>
          </cell>
          <cell r="C39" t="str">
            <v>B/S-Shop</v>
          </cell>
          <cell r="E39" t="str">
            <v>B/S-Shop</v>
          </cell>
        </row>
        <row r="40">
          <cell r="B40" t="str">
            <v>빛고을2</v>
          </cell>
          <cell r="C40" t="str">
            <v>B/S-Shop</v>
          </cell>
          <cell r="E40" t="str">
            <v>B/S-Shop</v>
          </cell>
        </row>
        <row r="41">
          <cell r="B41" t="str">
            <v>순천4</v>
          </cell>
          <cell r="C41" t="str">
            <v>B/S-Shop</v>
          </cell>
          <cell r="E41" t="str">
            <v>B/S-Shop</v>
          </cell>
        </row>
        <row r="42">
          <cell r="B42" t="str">
            <v>전군2</v>
          </cell>
          <cell r="C42" t="str">
            <v>B/S-Shop</v>
          </cell>
          <cell r="E42" t="str">
            <v>B/S-Shop</v>
          </cell>
        </row>
        <row r="43">
          <cell r="B43" t="str">
            <v>중화산4</v>
          </cell>
          <cell r="C43" t="str">
            <v>B/S-Shop</v>
          </cell>
          <cell r="E43" t="str">
            <v>B/S-Shop</v>
          </cell>
        </row>
        <row r="44">
          <cell r="B44" t="str">
            <v>제주5</v>
          </cell>
          <cell r="C44" t="str">
            <v>투자형 B-Shop (로드)</v>
          </cell>
          <cell r="E44" t="str">
            <v>투자형 B-Shop (로드)</v>
          </cell>
        </row>
        <row r="45">
          <cell r="B45" t="str">
            <v>강릉4</v>
          </cell>
          <cell r="C45" t="str">
            <v>B/S-Shop</v>
          </cell>
          <cell r="E45" t="str">
            <v>B/S-Shop</v>
          </cell>
        </row>
        <row r="46">
          <cell r="B46" t="str">
            <v>원주3</v>
          </cell>
          <cell r="C46" t="str">
            <v>B/S-Shop</v>
          </cell>
          <cell r="E46" t="str">
            <v>B/S-Shop</v>
          </cell>
        </row>
        <row r="47">
          <cell r="B47" t="str">
            <v>춘천3</v>
          </cell>
          <cell r="C47" t="str">
            <v>B/S-Shop</v>
          </cell>
          <cell r="E47" t="str">
            <v>B/S-Shop</v>
          </cell>
        </row>
        <row r="48">
          <cell r="B48" t="str">
            <v>울산4</v>
          </cell>
          <cell r="C48" t="str">
            <v>투자형 B-Shop (로드)</v>
          </cell>
          <cell r="E48" t="str">
            <v>투자형 B-Shop (로드)</v>
          </cell>
        </row>
        <row r="49">
          <cell r="B49" t="str">
            <v>거제4</v>
          </cell>
          <cell r="C49" t="e">
            <v>#N/A</v>
          </cell>
          <cell r="D49" t="str">
            <v>새로생김</v>
          </cell>
          <cell r="E49" t="str">
            <v>B/S-Shop</v>
          </cell>
        </row>
        <row r="50">
          <cell r="B50" t="str">
            <v>김해2</v>
          </cell>
          <cell r="C50" t="str">
            <v>B/S-Shop</v>
          </cell>
          <cell r="E50" t="str">
            <v>B/S-Shop</v>
          </cell>
        </row>
        <row r="51">
          <cell r="B51" t="str">
            <v>롯데동부산2</v>
          </cell>
          <cell r="C51" t="str">
            <v>투자형 B-Shop (입점)</v>
          </cell>
          <cell r="E51" t="str">
            <v>투자형 B-Shop (입점)</v>
          </cell>
        </row>
        <row r="52">
          <cell r="B52" t="str">
            <v>마산6</v>
          </cell>
          <cell r="C52" t="str">
            <v>B/S-Shop</v>
          </cell>
          <cell r="E52" t="str">
            <v>B/S-Shop</v>
          </cell>
        </row>
        <row r="53">
          <cell r="B53" t="str">
            <v>양산3</v>
          </cell>
          <cell r="C53" t="str">
            <v>B/S-Shop</v>
          </cell>
          <cell r="E53" t="str">
            <v>B/S-Shop</v>
          </cell>
        </row>
        <row r="54">
          <cell r="B54" t="str">
            <v>연제4</v>
          </cell>
          <cell r="C54" t="str">
            <v>B/S-Shop</v>
          </cell>
          <cell r="E54" t="str">
            <v>B/S-Shop</v>
          </cell>
        </row>
        <row r="55">
          <cell r="B55" t="str">
            <v>진주2</v>
          </cell>
          <cell r="C55" t="str">
            <v>B/S-Shop</v>
          </cell>
          <cell r="E55" t="str">
            <v>B/S-Shop</v>
          </cell>
        </row>
        <row r="56">
          <cell r="B56" t="str">
            <v>창원3</v>
          </cell>
          <cell r="C56" t="str">
            <v>B/S-Shop</v>
          </cell>
          <cell r="E56" t="str">
            <v>B/S-Shop</v>
          </cell>
        </row>
        <row r="57">
          <cell r="B57" t="str">
            <v>하단3</v>
          </cell>
          <cell r="C57" t="str">
            <v>B/S-Shop</v>
          </cell>
          <cell r="E57" t="str">
            <v>B/S-Shop</v>
          </cell>
        </row>
        <row r="58">
          <cell r="B58" t="str">
            <v>LXH창원</v>
          </cell>
          <cell r="C58" t="str">
            <v>투자형 B-Shop (로드)</v>
          </cell>
          <cell r="E58" t="str">
            <v>투자형 B-Shop (로드)</v>
          </cell>
        </row>
        <row r="59">
          <cell r="B59" t="str">
            <v>롯데광복2</v>
          </cell>
          <cell r="C59" t="e">
            <v>#N/A</v>
          </cell>
          <cell r="D59" t="str">
            <v>새로생김</v>
          </cell>
          <cell r="E59" t="str">
            <v>b/s-shop (입점)</v>
          </cell>
        </row>
        <row r="60">
          <cell r="B60" t="str">
            <v>송도4</v>
          </cell>
          <cell r="C60" t="str">
            <v>투자형 B-Shop (입점)</v>
          </cell>
          <cell r="E60" t="str">
            <v>투자형 B-Shop (입점)</v>
          </cell>
        </row>
        <row r="61">
          <cell r="B61" t="str">
            <v>인천검단</v>
          </cell>
          <cell r="C61" t="str">
            <v>투자형 B-Shop (로드)</v>
          </cell>
          <cell r="E61" t="str">
            <v>투자형 B-Shop (로드)</v>
          </cell>
        </row>
        <row r="62">
          <cell r="B62" t="str">
            <v>인천중앙2</v>
          </cell>
          <cell r="C62" t="str">
            <v>B/S-Shop</v>
          </cell>
          <cell r="E62" t="str">
            <v>B/S-Shop</v>
          </cell>
        </row>
        <row r="63">
          <cell r="B63" t="str">
            <v>롯데인천(팝업)</v>
          </cell>
          <cell r="C63" t="e">
            <v>#N/A</v>
          </cell>
          <cell r="D63" t="str">
            <v>새로생김</v>
          </cell>
          <cell r="E63" t="str">
            <v>b/s-shop (입점)</v>
          </cell>
        </row>
        <row r="64">
          <cell r="B64" t="str">
            <v>김포5</v>
          </cell>
          <cell r="C64" t="str">
            <v>B/S-Shop</v>
          </cell>
          <cell r="E64" t="str">
            <v>B/S-Shop</v>
          </cell>
        </row>
        <row r="65">
          <cell r="B65" t="str">
            <v>부천3</v>
          </cell>
          <cell r="C65" t="str">
            <v>B/S-Shop</v>
          </cell>
          <cell r="E65" t="str">
            <v>B/S-Shop</v>
          </cell>
        </row>
        <row r="66">
          <cell r="B66" t="str">
            <v>구리남양주2</v>
          </cell>
          <cell r="C66" t="str">
            <v>B/S-Shop</v>
          </cell>
          <cell r="E66" t="str">
            <v>B/S-Shop</v>
          </cell>
        </row>
        <row r="67">
          <cell r="B67" t="str">
            <v>의정부8</v>
          </cell>
          <cell r="C67" t="str">
            <v>B/S-Shop</v>
          </cell>
          <cell r="E67" t="str">
            <v>B/S-Shop</v>
          </cell>
        </row>
        <row r="68">
          <cell r="B68" t="str">
            <v>신세계시흥2</v>
          </cell>
          <cell r="C68" t="e">
            <v>#N/A</v>
          </cell>
          <cell r="D68" t="str">
            <v>새로생김</v>
          </cell>
          <cell r="E68" t="str">
            <v>투자형 B-Shop (입점)</v>
          </cell>
        </row>
        <row r="69">
          <cell r="B69" t="str">
            <v>롯데영등포</v>
          </cell>
          <cell r="C69" t="e">
            <v>#N/A</v>
          </cell>
          <cell r="D69" t="str">
            <v>새로생김</v>
          </cell>
          <cell r="E69" t="str">
            <v>b/s-shop (입점)</v>
          </cell>
        </row>
        <row r="70">
          <cell r="B70" t="str">
            <v>LXH목동</v>
          </cell>
          <cell r="C70" t="str">
            <v>투자형 B-Shop (로드)</v>
          </cell>
          <cell r="E70" t="str">
            <v>투자형 B-Shop (로드)</v>
          </cell>
        </row>
      </sheetData>
      <sheetData sheetId="1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계약서"/>
      <sheetName val="약정서(수수료-투자b로드)"/>
      <sheetName val="약정서(수수료-투자b입점)"/>
      <sheetName val="약정서(수수료-일반bs)"/>
      <sheetName val="약정서(수수료-입점bs)"/>
      <sheetName val="약정서(CI,SI)"/>
      <sheetName val="약정서(개인정보)"/>
      <sheetName val="3D홈플래너 사용권계약서"/>
      <sheetName val="동반성장 및 청렴서약서"/>
      <sheetName val="계약체결용"/>
      <sheetName val="2503기준유통망"/>
      <sheetName val="25년계약체결용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2">
          <cell r="I2" t="str">
            <v>사업자번호</v>
          </cell>
          <cell r="J2" t="str">
            <v>대표</v>
          </cell>
          <cell r="K2" t="str">
            <v>주소</v>
          </cell>
          <cell r="L2" t="str">
            <v>계약시작</v>
          </cell>
          <cell r="M2" t="str">
            <v>계약만료</v>
          </cell>
          <cell r="N2" t="str">
            <v>계약기간</v>
          </cell>
          <cell r="O2" t="str">
            <v>메일</v>
          </cell>
        </row>
        <row r="3">
          <cell r="I3" t="str">
            <v>201-86-45638</v>
          </cell>
          <cell r="J3" t="str">
            <v>최 종 섭</v>
          </cell>
          <cell r="K3" t="str">
            <v>강원 강릉시 율곡로 3190</v>
          </cell>
          <cell r="L3" t="str">
            <v>2025년 4월 1일</v>
          </cell>
          <cell r="M3" t="str">
            <v>2026년 3월 31일</v>
          </cell>
          <cell r="N3" t="str">
            <v>2025년 4월 1일 ~ 2026년 3월 31일</v>
          </cell>
          <cell r="O3" t="str">
            <v>gniloom@daum.net</v>
          </cell>
        </row>
        <row r="4">
          <cell r="I4" t="str">
            <v>178-73-00699</v>
          </cell>
          <cell r="J4" t="str">
            <v>안 율</v>
          </cell>
          <cell r="K4" t="str">
            <v>경상남도 거제시 수양로 454-40, 2층(수월동)</v>
          </cell>
          <cell r="L4" t="str">
            <v>2025년 4월 1일</v>
          </cell>
          <cell r="M4" t="str">
            <v>2026년 3월 31일</v>
          </cell>
          <cell r="N4" t="str">
            <v>2025년 4월 1일 ~ 2026년 3월 31일</v>
          </cell>
          <cell r="O4" t="str">
            <v>ld5yul@hanmail.net</v>
          </cell>
        </row>
        <row r="5">
          <cell r="I5" t="str">
            <v>505-09-65796</v>
          </cell>
          <cell r="J5" t="str">
            <v>신 도 철</v>
          </cell>
          <cell r="K5" t="str">
            <v>경북 경주시 원화로468, b동</v>
          </cell>
          <cell r="L5" t="str">
            <v>2025년 4월 1일</v>
          </cell>
          <cell r="M5" t="str">
            <v>2026년 3월 31일</v>
          </cell>
          <cell r="N5" t="str">
            <v>2025년 4월 1일 ~ 2026년 3월 31일</v>
          </cell>
          <cell r="O5" t="str">
            <v>ch9000@hanmail.net</v>
          </cell>
        </row>
        <row r="6">
          <cell r="I6" t="str">
            <v>228-27-00532</v>
          </cell>
          <cell r="J6" t="str">
            <v>박 상 근</v>
          </cell>
          <cell r="K6" t="str">
            <v>경기 구리시 경춘로 286, 2,3,4층</v>
          </cell>
          <cell r="L6" t="str">
            <v>2025년 4월 1일</v>
          </cell>
          <cell r="M6" t="str">
            <v>2025년 5월 31일</v>
          </cell>
          <cell r="N6" t="str">
            <v>2025년 4월 1일 ~ 2025년 5월 31일</v>
          </cell>
          <cell r="O6" t="str">
            <v>xoghksdls21@naver.com</v>
          </cell>
        </row>
        <row r="7">
          <cell r="I7" t="str">
            <v>283-05-01540</v>
          </cell>
          <cell r="J7" t="str">
            <v>김관우, 김동윤, 박정애</v>
          </cell>
          <cell r="K7" t="str">
            <v>경북 구미시 산업로28길 4</v>
          </cell>
          <cell r="L7" t="str">
            <v>2025년 4월 1일</v>
          </cell>
          <cell r="M7" t="str">
            <v>2026년 3월 31일</v>
          </cell>
          <cell r="N7" t="str">
            <v>2025년 4월 1일 ~ 2026년 3월 31일</v>
          </cell>
          <cell r="O7" t="str">
            <v>ktongyun@hanmail.net</v>
          </cell>
        </row>
        <row r="8">
          <cell r="I8" t="str">
            <v>137-17-39033</v>
          </cell>
          <cell r="J8" t="str">
            <v>장 미 영</v>
          </cell>
          <cell r="K8" t="str">
            <v>경기 김포시 풍무동 27-4 1,2층</v>
          </cell>
          <cell r="L8" t="str">
            <v>2025년 4월 1일</v>
          </cell>
          <cell r="M8" t="str">
            <v>2026년 3월 31일</v>
          </cell>
          <cell r="N8" t="str">
            <v>2025년 4월 1일 ~ 2026년 3월 31일</v>
          </cell>
          <cell r="O8" t="str">
            <v>kanges232@naver.com</v>
          </cell>
        </row>
        <row r="9">
          <cell r="I9" t="str">
            <v>615-17-27736</v>
          </cell>
          <cell r="J9" t="str">
            <v>박 효 정</v>
          </cell>
          <cell r="K9" t="str">
            <v>경남 김해시 풍유동 47-3</v>
          </cell>
          <cell r="L9" t="str">
            <v>2025년 4월 1일</v>
          </cell>
          <cell r="M9" t="str">
            <v>2026년 3월 31일</v>
          </cell>
          <cell r="N9" t="str">
            <v>2025년 4월 1일 ~ 2026년 3월 31일</v>
          </cell>
          <cell r="O9" t="str">
            <v>iloomju@naver.com</v>
          </cell>
        </row>
        <row r="10">
          <cell r="I10" t="str">
            <v>514-19-58959</v>
          </cell>
          <cell r="J10" t="str">
            <v>서 미 경</v>
          </cell>
          <cell r="K10" t="str">
            <v>대구 달서구 조암로 200(유천동)</v>
          </cell>
          <cell r="L10" t="str">
            <v>2025년 4월 1일</v>
          </cell>
          <cell r="M10" t="str">
            <v>2026년 3월 31일</v>
          </cell>
          <cell r="N10" t="str">
            <v>2025년 4월 1일 ~ 2026년 3월 31일</v>
          </cell>
          <cell r="O10" t="str">
            <v>heraseo219@naver.com</v>
          </cell>
        </row>
        <row r="11">
          <cell r="I11" t="str">
            <v>418-06-94448</v>
          </cell>
          <cell r="J11" t="str">
            <v>유 수 정</v>
          </cell>
          <cell r="K11" t="str">
            <v>전북 전주시 덕진구 송천중앙로 6</v>
          </cell>
          <cell r="L11" t="str">
            <v>2025년 4월 1일</v>
          </cell>
          <cell r="M11" t="str">
            <v>2026년 3월 31일</v>
          </cell>
          <cell r="N11" t="str">
            <v>2025년 4월 1일 ~ 2026년 3월 31일</v>
          </cell>
          <cell r="O11" t="str">
            <v>eiloom@nate.com</v>
          </cell>
        </row>
        <row r="12">
          <cell r="I12" t="str">
            <v>608-47-60393</v>
          </cell>
          <cell r="J12" t="str">
            <v>강 호 근</v>
          </cell>
          <cell r="K12" t="str">
            <v>경남 창원시 마산회원구 봉양로 187(봉암동)</v>
          </cell>
          <cell r="L12" t="str">
            <v>2025년 4월 1일</v>
          </cell>
          <cell r="M12" t="str">
            <v>2026년 3월 31일</v>
          </cell>
          <cell r="N12" t="str">
            <v>2025년 4월 1일 ~ 2026년 3월 31일</v>
          </cell>
          <cell r="O12" t="str">
            <v>smartopc1@naver.com</v>
          </cell>
        </row>
        <row r="13">
          <cell r="I13" t="str">
            <v>408-88-02821</v>
          </cell>
          <cell r="J13" t="str">
            <v>조 평 호</v>
          </cell>
          <cell r="K13" t="str">
            <v>광주광역시 남구 봉선로 16 (주월동) 1층</v>
          </cell>
          <cell r="L13" t="str">
            <v>2025년 4월 1일</v>
          </cell>
          <cell r="M13" t="str">
            <v>2026년 3월 31일</v>
          </cell>
          <cell r="N13" t="str">
            <v>2025년 4월 1일 ~ 2026년 3월 31일</v>
          </cell>
          <cell r="O13" t="str">
            <v>gagu0512@naver.com</v>
          </cell>
        </row>
        <row r="14">
          <cell r="I14" t="str">
            <v>313-36-00088</v>
          </cell>
          <cell r="J14" t="str">
            <v>최 민 영</v>
          </cell>
          <cell r="K14" t="str">
            <v>경기 부천시 길주로 462</v>
          </cell>
          <cell r="L14" t="str">
            <v>2025년 4월 1일</v>
          </cell>
          <cell r="M14" t="str">
            <v>2025년 12월 31일</v>
          </cell>
          <cell r="N14" t="str">
            <v>2025년 4월 1일 ~ 2025년 12월 31일</v>
          </cell>
          <cell r="O14" t="str">
            <v>iloombc@naver.com</v>
          </cell>
        </row>
        <row r="15">
          <cell r="I15" t="str">
            <v>135-10-97912</v>
          </cell>
          <cell r="J15" t="str">
            <v>최 상 헌</v>
          </cell>
          <cell r="K15" t="str">
            <v>경기도 성남시 분당구 대왕판교로214</v>
          </cell>
          <cell r="L15" t="str">
            <v>2025년 4월 1일</v>
          </cell>
          <cell r="M15" t="str">
            <v>2026년 3월 31일</v>
          </cell>
          <cell r="N15" t="str">
            <v>2025년 4월 1일 ~ 2026년 3월 31일</v>
          </cell>
          <cell r="O15" t="str">
            <v>csh6797@naver.com</v>
          </cell>
        </row>
        <row r="16">
          <cell r="I16" t="str">
            <v>410-86-88925</v>
          </cell>
          <cell r="J16" t="str">
            <v>최 정 우</v>
          </cell>
          <cell r="K16" t="str">
            <v>광주 광산구 하남대로 352 3층 일룸빛고을점</v>
          </cell>
          <cell r="L16" t="str">
            <v>2025년 4월 1일</v>
          </cell>
          <cell r="M16" t="str">
            <v>2026년 3월 31일</v>
          </cell>
          <cell r="N16" t="str">
            <v>2025년 4월 1일 ~ 2026년 3월 31일</v>
          </cell>
          <cell r="O16" t="str">
            <v>woowby@naver.com</v>
          </cell>
        </row>
        <row r="17">
          <cell r="I17" t="str">
            <v>305-29-60452</v>
          </cell>
          <cell r="J17" t="str">
            <v>김 영 애</v>
          </cell>
          <cell r="K17" t="str">
            <v>대전 중구 중앙로 8 (문화동, 가구갤러리 8층)</v>
          </cell>
          <cell r="L17" t="str">
            <v>2025년 4월 1일</v>
          </cell>
          <cell r="M17" t="str">
            <v>2026년 3월 31일</v>
          </cell>
          <cell r="N17" t="str">
            <v>2025년 4월 1일 ~ 2026년 3월 31일</v>
          </cell>
          <cell r="O17" t="str">
            <v>iloom7052@hanmail.net</v>
          </cell>
        </row>
        <row r="18">
          <cell r="I18" t="str">
            <v>310-02-95975</v>
          </cell>
          <cell r="J18" t="str">
            <v>김 문 자</v>
          </cell>
          <cell r="K18" t="str">
            <v>충남 서산시 서해로 3449(석림동)</v>
          </cell>
          <cell r="L18" t="str">
            <v>2025년 4월 1일</v>
          </cell>
          <cell r="M18" t="str">
            <v>2026년 3월 31일</v>
          </cell>
          <cell r="N18" t="str">
            <v>2025년 4월 1일 ~ 2026년 3월 31일</v>
          </cell>
          <cell r="O18" t="str">
            <v>kmj669@daum.com</v>
          </cell>
        </row>
        <row r="19">
          <cell r="I19" t="str">
            <v>760-33-00129</v>
          </cell>
          <cell r="J19" t="str">
            <v>박정나, 이상연</v>
          </cell>
          <cell r="K19" t="str">
            <v>세종 아름동 1313 정원타워 3,4층</v>
          </cell>
          <cell r="L19" t="str">
            <v>2025년 4월 1일</v>
          </cell>
          <cell r="M19" t="str">
            <v>2026년 3월 31일</v>
          </cell>
          <cell r="N19" t="str">
            <v>2025년 4월 1일 ~ 2026년 3월 31일</v>
          </cell>
          <cell r="O19" t="str">
            <v>daikii@naver.com</v>
          </cell>
        </row>
        <row r="20">
          <cell r="I20" t="str">
            <v>502-21-75604</v>
          </cell>
          <cell r="J20" t="str">
            <v>조진희, 차인호</v>
          </cell>
          <cell r="K20" t="str">
            <v>대구 수성구 희망로 152</v>
          </cell>
          <cell r="L20" t="str">
            <v>2025년 4월 1일</v>
          </cell>
          <cell r="M20" t="str">
            <v>2026년 3월 31일</v>
          </cell>
          <cell r="N20" t="str">
            <v>2025년 4월 1일 ~ 2026년 3월 31일</v>
          </cell>
          <cell r="O20" t="str">
            <v>cha25_2000@hanmail.net</v>
          </cell>
        </row>
        <row r="21">
          <cell r="I21" t="str">
            <v>142-88-00388</v>
          </cell>
          <cell r="J21" t="str">
            <v>김 대 현</v>
          </cell>
          <cell r="K21" t="str">
            <v>전남 순천시 중앙로 118</v>
          </cell>
          <cell r="L21" t="str">
            <v>2025년 4월 1일</v>
          </cell>
          <cell r="M21" t="str">
            <v>2026년 3월 31일</v>
          </cell>
          <cell r="N21" t="str">
            <v>2025년 4월 1일 ~ 2026년 3월 31일</v>
          </cell>
          <cell r="O21" t="str">
            <v>myiloom@naver.com</v>
          </cell>
        </row>
        <row r="22">
          <cell r="I22" t="str">
            <v>511-08-44988</v>
          </cell>
          <cell r="J22" t="str">
            <v>조현주, 박주홍</v>
          </cell>
          <cell r="K22" t="str">
            <v>경북 안동시 하이마로 151</v>
          </cell>
          <cell r="L22" t="str">
            <v>2025년 4월 1일</v>
          </cell>
          <cell r="M22" t="str">
            <v>2026년 3월 31일</v>
          </cell>
          <cell r="N22" t="str">
            <v>2025년 4월 1일 ~ 2026년 3월 31일</v>
          </cell>
          <cell r="O22" t="str">
            <v>amaxs@hanmail.net</v>
          </cell>
        </row>
        <row r="23">
          <cell r="I23" t="str">
            <v>207-04-55609</v>
          </cell>
          <cell r="J23" t="str">
            <v>노수민</v>
          </cell>
          <cell r="K23" t="str">
            <v>경기 안산시 상록구 용신로 451-1(본오동,1,2층)</v>
          </cell>
          <cell r="L23" t="str">
            <v>2025년 4월 1일</v>
          </cell>
          <cell r="M23" t="str">
            <v>2026년 3월 31일</v>
          </cell>
          <cell r="N23" t="str">
            <v>2025년 4월 1일 ~ 2026년 3월 31일</v>
          </cell>
          <cell r="O23" t="str">
            <v>wish2199@naver.com</v>
          </cell>
        </row>
        <row r="24">
          <cell r="I24" t="str">
            <v>463-03-00712</v>
          </cell>
          <cell r="J24" t="str">
            <v>남 명 현</v>
          </cell>
          <cell r="K24" t="str">
            <v>경남 양산시 물금읍 황산로 497</v>
          </cell>
          <cell r="L24" t="str">
            <v>2025년 4월 1일</v>
          </cell>
          <cell r="M24" t="str">
            <v>2026년 3월 31일</v>
          </cell>
          <cell r="N24" t="str">
            <v>2025년 4월 1일 ~ 2026년 3월 31일</v>
          </cell>
          <cell r="O24" t="str">
            <v>godid56@nate.com</v>
          </cell>
        </row>
        <row r="25">
          <cell r="I25" t="str">
            <v>388-87-01424</v>
          </cell>
          <cell r="J25" t="str">
            <v>이 철 희</v>
          </cell>
          <cell r="K25" t="str">
            <v>부산 연제구 거제대로 297, 2~3층</v>
          </cell>
          <cell r="L25" t="str">
            <v>2025년 4월 1일</v>
          </cell>
          <cell r="M25" t="str">
            <v>2026년 3월 31일</v>
          </cell>
          <cell r="N25" t="str">
            <v>2025년 4월 1일 ~ 2026년 3월 31일</v>
          </cell>
          <cell r="O25" t="str">
            <v>auk0903@naver.com</v>
          </cell>
        </row>
        <row r="26">
          <cell r="I26" t="str">
            <v>224-07-71963</v>
          </cell>
          <cell r="J26" t="str">
            <v>이 정 복</v>
          </cell>
          <cell r="K26" t="str">
            <v>강원 원주시 호저면 원문로 668-9 만종가구단지 2층</v>
          </cell>
          <cell r="L26" t="str">
            <v>2025년 4월 1일</v>
          </cell>
          <cell r="M26" t="str">
            <v>2026년 3월 31일</v>
          </cell>
          <cell r="N26" t="str">
            <v>2025년 4월 1일 ~ 2026년 3월 31일</v>
          </cell>
          <cell r="O26" t="str">
            <v>jungbok35@daum.net</v>
          </cell>
        </row>
        <row r="27">
          <cell r="I27" t="str">
            <v>550-88-00221</v>
          </cell>
          <cell r="J27" t="str">
            <v>이 경 숙</v>
          </cell>
          <cell r="K27" t="str">
            <v>경기 의정부시 민락로 397</v>
          </cell>
          <cell r="L27" t="str">
            <v>2025년 4월 1일</v>
          </cell>
          <cell r="M27" t="str">
            <v>2026년 3월 31일</v>
          </cell>
          <cell r="N27" t="str">
            <v>2025년 4월 1일 ~ 2026년 3월 31일</v>
          </cell>
          <cell r="O27" t="str">
            <v>jail5775@hanmail.net</v>
          </cell>
        </row>
        <row r="28">
          <cell r="I28" t="str">
            <v>105-85-41701</v>
          </cell>
          <cell r="J28" t="str">
            <v>이 종 균</v>
          </cell>
          <cell r="K28" t="str">
            <v>인천 남동구 인주대로 644</v>
          </cell>
          <cell r="L28" t="str">
            <v>2025년 4월 1일</v>
          </cell>
          <cell r="M28" t="str">
            <v>2026년 3월 31일</v>
          </cell>
          <cell r="N28" t="str">
            <v>2025년 4월 1일 ~ 2026년 3월 31일</v>
          </cell>
          <cell r="O28" t="str">
            <v>ff1001@nate.com</v>
          </cell>
        </row>
        <row r="29">
          <cell r="I29" t="str">
            <v>670-81-01506</v>
          </cell>
          <cell r="J29" t="str">
            <v>김정은, 안중협</v>
          </cell>
          <cell r="K29" t="str">
            <v>경기도 고양시 일산서구 탄중로 120, 1~2동(덕이동)</v>
          </cell>
          <cell r="L29" t="str">
            <v>2025년 4월 1일</v>
          </cell>
          <cell r="M29" t="str">
            <v>2026년 3월 31일</v>
          </cell>
          <cell r="N29" t="str">
            <v>2025년 4월 1일 ~ 2026년 3월 31일</v>
          </cell>
          <cell r="O29" t="str">
            <v>garnet212@naver.com</v>
          </cell>
        </row>
        <row r="30">
          <cell r="I30" t="str">
            <v>403-03-30193</v>
          </cell>
          <cell r="J30" t="str">
            <v>안 상 준</v>
          </cell>
          <cell r="K30" t="str">
            <v>전북 김제시 백구면 영상3길 28-26</v>
          </cell>
          <cell r="L30" t="str">
            <v>2025년 4월 1일</v>
          </cell>
          <cell r="M30" t="str">
            <v>2026년 3월 31일</v>
          </cell>
          <cell r="N30" t="str">
            <v>2025년 4월 1일 ~ 2026년 3월 31일</v>
          </cell>
          <cell r="O30" t="str">
            <v>iloom4200@naver.com</v>
          </cell>
        </row>
        <row r="31">
          <cell r="I31" t="str">
            <v>402-20-78721</v>
          </cell>
          <cell r="J31" t="str">
            <v>양 유 진</v>
          </cell>
          <cell r="K31" t="str">
            <v>전북 전주시 완산구 중화산동2가 528-6</v>
          </cell>
          <cell r="L31" t="str">
            <v>2025년 4월 1일</v>
          </cell>
          <cell r="M31" t="str">
            <v>2026년 3월 31일</v>
          </cell>
          <cell r="N31" t="str">
            <v>2025년 4월 1일 ~ 2026년 3월 31일</v>
          </cell>
          <cell r="O31" t="str">
            <v>power5550@hanmail.net</v>
          </cell>
        </row>
        <row r="32">
          <cell r="I32" t="str">
            <v>613-06-76176</v>
          </cell>
          <cell r="J32" t="str">
            <v>김지융, 김현실</v>
          </cell>
          <cell r="K32" t="str">
            <v>경남 진주시 진주대로 638(가좌동)</v>
          </cell>
          <cell r="L32" t="str">
            <v>2025년 4월 1일</v>
          </cell>
          <cell r="M32" t="str">
            <v>2026년 3월 31일</v>
          </cell>
          <cell r="N32" t="str">
            <v>2025년 4월 1일 ~ 2026년 3월 31일</v>
          </cell>
          <cell r="O32" t="str">
            <v>rlduql_par@naver.com</v>
          </cell>
        </row>
        <row r="33">
          <cell r="I33" t="str">
            <v>609-81-43386</v>
          </cell>
          <cell r="J33" t="str">
            <v>정 진 환</v>
          </cell>
          <cell r="K33" t="str">
            <v>경상남도 창원시 의창구 창원대로 360</v>
          </cell>
          <cell r="L33" t="str">
            <v>2025년 4월 1일</v>
          </cell>
          <cell r="M33" t="str">
            <v>2026년 3월 31일</v>
          </cell>
          <cell r="N33" t="str">
            <v>2025년 4월 1일 ~ 2026년 3월 31일</v>
          </cell>
          <cell r="O33" t="str">
            <v>fursyschangwon@daum.net</v>
          </cell>
        </row>
        <row r="34">
          <cell r="I34" t="str">
            <v>416-22-25834</v>
          </cell>
          <cell r="J34" t="str">
            <v>김은미, 김정숙</v>
          </cell>
          <cell r="K34" t="str">
            <v>충남 천안시 서북구 검은들3길 36 (불당동)</v>
          </cell>
          <cell r="L34" t="str">
            <v>2025년 4월 1일</v>
          </cell>
          <cell r="M34" t="str">
            <v>2026년 3월 31일</v>
          </cell>
          <cell r="N34" t="str">
            <v>2025년 4월 1일 ~ 2026년 3월 31일</v>
          </cell>
          <cell r="O34" t="str">
            <v>skylove2809@hanmail.net</v>
          </cell>
        </row>
        <row r="35">
          <cell r="I35" t="str">
            <v>745-10-00252</v>
          </cell>
          <cell r="J35" t="str">
            <v>박 종 상</v>
          </cell>
          <cell r="K35" t="str">
            <v>충북 청주시 서원구 남이면 가구단지길 21-3 청남가구단지 105호</v>
          </cell>
          <cell r="L35" t="str">
            <v>2025년 4월 1일</v>
          </cell>
          <cell r="M35" t="str">
            <v>2026년 3월 31일</v>
          </cell>
          <cell r="N35" t="str">
            <v>2025년 4월 1일 ~ 2026년 3월 31일</v>
          </cell>
          <cell r="O35" t="str">
            <v>brqok@naver.com</v>
          </cell>
        </row>
        <row r="36">
          <cell r="I36" t="str">
            <v>335-87-02787</v>
          </cell>
          <cell r="J36" t="str">
            <v>최 현 수</v>
          </cell>
          <cell r="K36" t="str">
            <v>충북 청주시 상당구 용암동 1587</v>
          </cell>
          <cell r="L36" t="str">
            <v>2025년 4월 1일</v>
          </cell>
          <cell r="M36" t="str">
            <v>2026년 3월 31일</v>
          </cell>
          <cell r="N36" t="str">
            <v>2025년 4월 1일 ~ 2026년 3월 31일</v>
          </cell>
          <cell r="O36" t="str">
            <v>soh0001@naver.com</v>
          </cell>
        </row>
        <row r="37">
          <cell r="I37" t="str">
            <v>785-86-00352</v>
          </cell>
          <cell r="J37" t="str">
            <v>함 지 연</v>
          </cell>
          <cell r="K37" t="str">
            <v>충북 청주시 흥덕구 강서로 55, 2층</v>
          </cell>
          <cell r="L37" t="str">
            <v>2025년 4월 1일</v>
          </cell>
          <cell r="M37" t="str">
            <v>2026년 3월 31일</v>
          </cell>
          <cell r="N37" t="str">
            <v>2025년 4월 1일 ~ 2026년 3월 31일</v>
          </cell>
          <cell r="O37" t="str">
            <v>iloom1@nate.com</v>
          </cell>
        </row>
        <row r="38">
          <cell r="I38" t="str">
            <v>221-02-56686</v>
          </cell>
          <cell r="J38" t="str">
            <v>이 신 구</v>
          </cell>
          <cell r="K38" t="str">
            <v>강원 춘천시 동면 만천리 700번지</v>
          </cell>
          <cell r="L38" t="str">
            <v>2025년 4월 1일</v>
          </cell>
          <cell r="M38" t="str">
            <v>2026년 3월 31일</v>
          </cell>
          <cell r="N38" t="str">
            <v>2025년 4월 1일 ~ 2026년 3월 31일</v>
          </cell>
          <cell r="O38" t="str">
            <v>2620077@naver.com</v>
          </cell>
        </row>
        <row r="39">
          <cell r="I39" t="str">
            <v>778-87-02591</v>
          </cell>
          <cell r="J39" t="str">
            <v>오 중 현</v>
          </cell>
          <cell r="K39" t="str">
            <v>서울 중랑구 동일로 898</v>
          </cell>
          <cell r="L39" t="str">
            <v>2025년 4월 1일</v>
          </cell>
          <cell r="M39" t="str">
            <v>2025년 5월 31일</v>
          </cell>
          <cell r="N39" t="str">
            <v>2025년 4월 1일 ~ 2025년 5월 31일</v>
          </cell>
          <cell r="O39" t="str">
            <v>to7887@nate.com</v>
          </cell>
        </row>
        <row r="40">
          <cell r="I40" t="str">
            <v>120-87-13514</v>
          </cell>
          <cell r="J40" t="str">
            <v>김 은 미</v>
          </cell>
          <cell r="K40" t="str">
            <v>경기 안성시 공도읍 서동대로 3924, 102호</v>
          </cell>
          <cell r="L40" t="str">
            <v>2025년 4월 1일</v>
          </cell>
          <cell r="M40" t="str">
            <v>2026년 1월 25일</v>
          </cell>
          <cell r="N40" t="str">
            <v>2025년 4월 1일 ~ 2026년 1월 25일</v>
          </cell>
          <cell r="O40" t="str">
            <v>eiloom26@naver.com</v>
          </cell>
        </row>
        <row r="41">
          <cell r="I41" t="str">
            <v>506-04-65571</v>
          </cell>
          <cell r="J41" t="str">
            <v>김 미 경</v>
          </cell>
          <cell r="K41" t="str">
            <v>경북 포항시 북구 환호로 75</v>
          </cell>
          <cell r="L41" t="str">
            <v>2025년 4월 1일</v>
          </cell>
          <cell r="M41" t="str">
            <v>2025년 12월 31일</v>
          </cell>
          <cell r="N41" t="str">
            <v>2025년 4월 1일 ~ 2025년 12월 31일</v>
          </cell>
          <cell r="O41" t="str">
            <v>hnhhnhh@hanmail.net</v>
          </cell>
        </row>
        <row r="42">
          <cell r="I42" t="str">
            <v>506-14-15162</v>
          </cell>
          <cell r="J42" t="str">
            <v>신 현 정</v>
          </cell>
          <cell r="K42" t="str">
            <v>경북 포항시 북구 중흥로213번길 49</v>
          </cell>
          <cell r="L42" t="str">
            <v>2025년 4월 1일</v>
          </cell>
          <cell r="M42" t="str">
            <v>2026년 3월 31일</v>
          </cell>
          <cell r="N42" t="str">
            <v>2025년 4월 1일 ~ 2026년 3월 31일</v>
          </cell>
          <cell r="O42" t="str">
            <v>shjj_2000@hanmail.net</v>
          </cell>
        </row>
        <row r="43">
          <cell r="I43" t="str">
            <v>617-29-91066</v>
          </cell>
          <cell r="J43" t="str">
            <v>우 영 숙</v>
          </cell>
          <cell r="K43" t="str">
            <v>부산광역시 사하구 낙동남로 1359 (하단동)</v>
          </cell>
          <cell r="L43" t="str">
            <v>2025년 4월 1일</v>
          </cell>
          <cell r="M43" t="str">
            <v>2026년 3월 31일</v>
          </cell>
          <cell r="N43" t="str">
            <v>2025년 4월 1일 ~ 2026년 3월 31일</v>
          </cell>
          <cell r="O43" t="str">
            <v>kwonweb@hanmail.co.kr</v>
          </cell>
        </row>
        <row r="44">
          <cell r="I44" t="str">
            <v>173-62-00679</v>
          </cell>
          <cell r="J44" t="str">
            <v>조 정 혁</v>
          </cell>
          <cell r="K44" t="str">
            <v>부산광역시 중구 중앙대로 2, 8층</v>
          </cell>
          <cell r="L44" t="str">
            <v>2025년 4월 1일</v>
          </cell>
          <cell r="M44" t="str">
            <v>2026년 1월 31일</v>
          </cell>
          <cell r="N44" t="str">
            <v>2025년 4월 1일 ~ 2026년 1월 31일</v>
          </cell>
          <cell r="O44" t="str">
            <v>gorgeouc@naver.com</v>
          </cell>
        </row>
        <row r="45">
          <cell r="I45" t="str">
            <v>836-07-02556</v>
          </cell>
          <cell r="J45" t="str">
            <v>박 철 홍</v>
          </cell>
          <cell r="K45" t="str">
            <v>경기도 화성시 동탄역로 160, 4층(오산동, 롯데백화점)</v>
          </cell>
          <cell r="L45" t="str">
            <v>2025년 4월 1일</v>
          </cell>
          <cell r="M45" t="str">
            <v>2026년 1월 31일</v>
          </cell>
          <cell r="N45" t="str">
            <v>2025년 4월 1일 ~ 2026년 1월 31일</v>
          </cell>
          <cell r="O45" t="str">
            <v>cholhong73@hanmail.net</v>
          </cell>
        </row>
        <row r="46">
          <cell r="I46" t="str">
            <v>778-87-02591</v>
          </cell>
          <cell r="J46" t="str">
            <v>오 중 현</v>
          </cell>
          <cell r="K46" t="str">
            <v>서울 중랑구 동일로 898</v>
          </cell>
          <cell r="L46" t="str">
            <v>2025년 4월 1일</v>
          </cell>
          <cell r="M46" t="str">
            <v>2026년 1월 31일</v>
          </cell>
          <cell r="N46" t="str">
            <v>2025년 4월 1일 ~ 2026년 1월 31일</v>
          </cell>
          <cell r="O46" t="str">
            <v>to7887@nate.com</v>
          </cell>
        </row>
        <row r="47">
          <cell r="I47" t="str">
            <v>336-46-01186</v>
          </cell>
          <cell r="J47" t="str">
            <v>최 하 은</v>
          </cell>
          <cell r="K47" t="str">
            <v>경기도 안산시 단원구 고잔1길 12, 3층(고잔동, 롯데백화점 안산점)</v>
          </cell>
          <cell r="L47" t="str">
            <v>2025년 4월 1일</v>
          </cell>
          <cell r="M47" t="str">
            <v>2025년 4월 30일</v>
          </cell>
          <cell r="N47" t="str">
            <v>2025년 4월 1일 ~ 2025년 4월 30일</v>
          </cell>
          <cell r="O47" t="str">
            <v>hg1634@naver.com</v>
          </cell>
        </row>
        <row r="48">
          <cell r="I48" t="str">
            <v>113-22-86081</v>
          </cell>
          <cell r="J48" t="str">
            <v>오 승 균</v>
          </cell>
          <cell r="K48" t="str">
            <v>서울 영등포구 영등포동 경인로846, 롯데백화점 9층</v>
          </cell>
          <cell r="L48" t="str">
            <v>2025년 4월 1일</v>
          </cell>
          <cell r="M48" t="str">
            <v>2025년 5월 31일</v>
          </cell>
          <cell r="N48" t="str">
            <v>2025년 4월 1일 ~ 2025년 5월 31일</v>
          </cell>
          <cell r="O48" t="str">
            <v>gyun0502@hotmail.com</v>
          </cell>
        </row>
        <row r="49">
          <cell r="I49" t="str">
            <v>105-85-41701</v>
          </cell>
          <cell r="J49" t="str">
            <v>이 종 균</v>
          </cell>
          <cell r="K49" t="str">
            <v>인천 남동구 인주대로 644</v>
          </cell>
          <cell r="L49" t="str">
            <v>2025년 4월 1일</v>
          </cell>
          <cell r="M49" t="str">
            <v>2025년 4월 30일</v>
          </cell>
          <cell r="N49" t="str">
            <v>2025년 4월 1일 ~ 2025년 4월 30일</v>
          </cell>
          <cell r="O49" t="str">
            <v>ff1001@nate.com</v>
          </cell>
        </row>
        <row r="50">
          <cell r="I50" t="str">
            <v>778-87-02591</v>
          </cell>
          <cell r="J50" t="str">
            <v>오 중 현</v>
          </cell>
          <cell r="K50" t="str">
            <v>서울 중랑구 동일로 898</v>
          </cell>
          <cell r="L50" t="str">
            <v>2025년 4월 1일</v>
          </cell>
          <cell r="M50" t="str">
            <v>2026년 1월 31일</v>
          </cell>
          <cell r="N50" t="str">
            <v>2025년 4월 1일 ~ 2026년 1월 31일</v>
          </cell>
          <cell r="O50" t="str">
            <v>to7887@nate.com</v>
          </cell>
        </row>
        <row r="51">
          <cell r="I51" t="str">
            <v>493-27-00631</v>
          </cell>
          <cell r="J51" t="str">
            <v>구 현 정</v>
          </cell>
          <cell r="K51" t="str">
            <v>서울 강서구 화곡로 398, 3층 일룸 홈플러스 강서점</v>
          </cell>
          <cell r="L51" t="str">
            <v>2025년 4월 1일</v>
          </cell>
          <cell r="M51" t="str">
            <v>2025년 10월 31일</v>
          </cell>
          <cell r="N51" t="str">
            <v>2025년 4월 1일 ~ 2025년 10월 31일</v>
          </cell>
          <cell r="O51" t="str">
            <v>rainyday0308@naver.com</v>
          </cell>
        </row>
        <row r="52">
          <cell r="I52" t="str">
            <v>609-81-43386</v>
          </cell>
          <cell r="J52" t="str">
            <v>정 진 환</v>
          </cell>
          <cell r="K52" t="str">
            <v>경상남도 창원시 의창구 창원대로 360</v>
          </cell>
          <cell r="L52" t="str">
            <v>2025년 4월 1일</v>
          </cell>
          <cell r="M52" t="str">
            <v>2025년 8월 20일</v>
          </cell>
          <cell r="N52" t="str">
            <v>2025년 4월 1일 ~ 2025년 8월 20일</v>
          </cell>
          <cell r="O52" t="str">
            <v>fursyschangwon@daum.net</v>
          </cell>
        </row>
        <row r="53">
          <cell r="I53" t="str">
            <v>633-29-00529</v>
          </cell>
          <cell r="J53" t="str">
            <v>장 규 호</v>
          </cell>
          <cell r="K53" t="str">
            <v>서울 강동구 천호대로 1136</v>
          </cell>
          <cell r="L53" t="str">
            <v>2025년 4월 1일</v>
          </cell>
          <cell r="M53" t="str">
            <v>2025년 5월 31일</v>
          </cell>
          <cell r="N53" t="str">
            <v>2025년 4월 1일 ~ 2025년 5월 31일</v>
          </cell>
          <cell r="O53" t="str">
            <v>iloomsongpa@gmail.com</v>
          </cell>
        </row>
        <row r="54">
          <cell r="I54" t="str">
            <v>410-03-23351</v>
          </cell>
          <cell r="J54" t="str">
            <v>조 평 호</v>
          </cell>
          <cell r="K54" t="str">
            <v>광주광역시 서구 무진대로 956(농성동, 퍼시스광주센터)</v>
          </cell>
          <cell r="L54" t="str">
            <v>2025년 4월 1일</v>
          </cell>
          <cell r="M54" t="str">
            <v>2025년 12월 31일</v>
          </cell>
          <cell r="N54" t="str">
            <v>2025년 4월 1일 ~ 2025년 12월 31일</v>
          </cell>
          <cell r="O54" t="str">
            <v>gagu1110@naver.com</v>
          </cell>
        </row>
        <row r="55">
          <cell r="I55" t="str">
            <v>314-27-63783</v>
          </cell>
          <cell r="J55" t="str">
            <v>류 대 열</v>
          </cell>
          <cell r="K55" t="str">
            <v>대전 서구 가수원동 1061 리더스프라자 B동 2~3층</v>
          </cell>
          <cell r="L55" t="str">
            <v>2025년 4월 1일</v>
          </cell>
          <cell r="M55" t="str">
            <v>2026년 3월 31일</v>
          </cell>
          <cell r="N55" t="str">
            <v>2025년 4월 1일 ~ 2026년 3월 31일</v>
          </cell>
          <cell r="O55" t="str">
            <v>kianadol@naver.com</v>
          </cell>
        </row>
        <row r="56">
          <cell r="I56" t="str">
            <v>334-37-00928</v>
          </cell>
          <cell r="J56" t="str">
            <v>윤 기 언</v>
          </cell>
          <cell r="K56" t="str">
            <v>경기도 안양시 만안구 안양로 238</v>
          </cell>
          <cell r="L56" t="str">
            <v>2025년 4월 1일</v>
          </cell>
          <cell r="M56" t="str">
            <v>2026년 3월 31일</v>
          </cell>
          <cell r="N56" t="str">
            <v>2025년 4월 1일 ~ 2026년 3월 31일</v>
          </cell>
          <cell r="O56" t="str">
            <v>yke69@naver.com</v>
          </cell>
        </row>
        <row r="57">
          <cell r="I57" t="str">
            <v>301-45-04477</v>
          </cell>
          <cell r="J57" t="str">
            <v>조 정 혁</v>
          </cell>
          <cell r="K57" t="str">
            <v>울산 남구 삼산로 361</v>
          </cell>
          <cell r="L57" t="str">
            <v>2025년 4월 1일</v>
          </cell>
          <cell r="M57" t="str">
            <v>2026년 3월 31일</v>
          </cell>
          <cell r="N57" t="str">
            <v>2025년 4월 1일 ~ 2026년 3월 31일</v>
          </cell>
          <cell r="O57" t="str">
            <v>gorgeouc@naver.com</v>
          </cell>
        </row>
        <row r="58">
          <cell r="I58" t="str">
            <v>872-03-02670</v>
          </cell>
          <cell r="J58" t="str">
            <v>유 종 규</v>
          </cell>
          <cell r="K58" t="str">
            <v>인천 서구 원당대로 847, 4층</v>
          </cell>
          <cell r="L58" t="str">
            <v>2025년 4월 1일</v>
          </cell>
          <cell r="M58" t="str">
            <v>2026년 3월 31일</v>
          </cell>
          <cell r="N58" t="str">
            <v>2025년 4월 1일 ~ 2026년 3월 31일</v>
          </cell>
          <cell r="O58" t="str">
            <v>manwxyiloom@hanmail.net</v>
          </cell>
        </row>
        <row r="59">
          <cell r="I59" t="str">
            <v>408-88-02821</v>
          </cell>
          <cell r="J59" t="str">
            <v>조 평 호</v>
          </cell>
          <cell r="K59" t="str">
            <v>광주광역시 남구 봉선로 16 (주월동) 1층</v>
          </cell>
          <cell r="L59" t="str">
            <v>2025년 4월 1일</v>
          </cell>
          <cell r="M59" t="str">
            <v>2026년 3월 31일</v>
          </cell>
          <cell r="N59" t="str">
            <v>2025년 4월 1일 ~ 2026년 3월 31일</v>
          </cell>
          <cell r="O59" t="str">
            <v>gagu0512@naver.com</v>
          </cell>
        </row>
        <row r="60">
          <cell r="I60" t="str">
            <v>312-20-61970</v>
          </cell>
          <cell r="J60" t="str">
            <v>이 준 범</v>
          </cell>
          <cell r="K60" t="str">
            <v>충남 천안시 동남구 신촌로 6, 2층</v>
          </cell>
          <cell r="L60" t="str">
            <v>2025년 4월 1일</v>
          </cell>
          <cell r="M60" t="str">
            <v>2026년 3월 31일</v>
          </cell>
          <cell r="N60" t="str">
            <v>2025년 4월 1일 ~ 2026년 3월 31일</v>
          </cell>
          <cell r="O60" t="str">
            <v>co2nonia@nate.com</v>
          </cell>
        </row>
        <row r="61">
          <cell r="I61" t="str">
            <v>213-26-00566</v>
          </cell>
          <cell r="J61" t="str">
            <v>호 현 숙</v>
          </cell>
          <cell r="K61" t="str">
            <v>경기 용인시 기흥구 신고매로 59 리빙파워센터 B2</v>
          </cell>
          <cell r="L61" t="str">
            <v>2025년 4월 1일</v>
          </cell>
          <cell r="M61" t="str">
            <v>2026년 3월 31일</v>
          </cell>
          <cell r="N61" t="str">
            <v>2025년 4월 1일 ~ 2026년 3월 31일</v>
          </cell>
          <cell r="O61" t="str">
            <v>mitch1579@gmail.com</v>
          </cell>
        </row>
        <row r="62">
          <cell r="I62" t="str">
            <v>215-22-64855</v>
          </cell>
          <cell r="J62" t="str">
            <v>조 선 영</v>
          </cell>
          <cell r="K62" t="str">
            <v>경기 광명시 일직로 17 롯데프리미엄아울렛 광명점 4층</v>
          </cell>
          <cell r="L62" t="str">
            <v>2025년 4월 1일</v>
          </cell>
          <cell r="M62" t="str">
            <v>2026년 3월 31일</v>
          </cell>
          <cell r="N62" t="str">
            <v>2025년 4월 1일 ~ 2026년 3월 31일</v>
          </cell>
          <cell r="O62" t="str">
            <v>cholhong73@hanmail.net</v>
          </cell>
        </row>
        <row r="63">
          <cell r="I63" t="str">
            <v>710-50-00456</v>
          </cell>
          <cell r="J63" t="str">
            <v>안 율</v>
          </cell>
          <cell r="K63" t="str">
            <v>부산 기장군 동부산관광로 8 메종동부산 롯데몰동부산점 B동 1층</v>
          </cell>
          <cell r="L63" t="str">
            <v>2025년 4월 1일</v>
          </cell>
          <cell r="M63" t="str">
            <v>2026년 3월 31일</v>
          </cell>
          <cell r="N63" t="str">
            <v>2025년 4월 1일 ~ 2026년 3월 31일</v>
          </cell>
          <cell r="O63" t="str">
            <v>ld5yul@hanmail.net</v>
          </cell>
        </row>
        <row r="64">
          <cell r="I64" t="str">
            <v>138-10-79418</v>
          </cell>
          <cell r="J64" t="str">
            <v>황 봉 국</v>
          </cell>
          <cell r="K64" t="str">
            <v>경기도 안양시 동안구 시민대로 180, 6층(호계동, 롯데백화점 평촌점)</v>
          </cell>
          <cell r="L64" t="str">
            <v>2025년 4월 1일</v>
          </cell>
          <cell r="M64" t="str">
            <v>2026년 1월 31일</v>
          </cell>
          <cell r="N64" t="str">
            <v>2025년 4월 1일 ~ 2026년 1월 31일</v>
          </cell>
          <cell r="O64" t="str">
            <v>bkhwang4600@naver.com</v>
          </cell>
        </row>
        <row r="65">
          <cell r="I65" t="str">
            <v>105-85-41701</v>
          </cell>
          <cell r="J65" t="str">
            <v>이 종 균</v>
          </cell>
          <cell r="K65" t="str">
            <v>인천 남동구 인주대로 644</v>
          </cell>
          <cell r="L65" t="str">
            <v>2025년 4월 1일</v>
          </cell>
          <cell r="M65" t="str">
            <v>2025년 8월 31일</v>
          </cell>
          <cell r="N65" t="str">
            <v>2025년 4월 1일 ~ 2025년 8월 31일</v>
          </cell>
          <cell r="O65" t="str">
            <v>ff1001@nate.com</v>
          </cell>
        </row>
        <row r="66">
          <cell r="I66" t="str">
            <v>417-10-72598</v>
          </cell>
          <cell r="J66" t="str">
            <v>안 중 우</v>
          </cell>
          <cell r="K66" t="str">
            <v>경기도 고양시 덕양구 고양대로 1955, b1층</v>
          </cell>
          <cell r="L66" t="str">
            <v>2025년 4월 1일</v>
          </cell>
          <cell r="M66" t="str">
            <v>2026년 3월 31일</v>
          </cell>
          <cell r="N66" t="str">
            <v>2025년 4월 1일 ~ 2026년 3월 31일</v>
          </cell>
          <cell r="O66" t="str">
            <v>ajw7609@naver.com</v>
          </cell>
        </row>
        <row r="67">
          <cell r="I67" t="str">
            <v>609-87-00128</v>
          </cell>
          <cell r="J67" t="str">
            <v>석 옥 련</v>
          </cell>
          <cell r="K67" t="str">
            <v>경기 수원시 장안구 수성로 175, 6층 6210호(정자동, 스타필드수원)</v>
          </cell>
          <cell r="L67" t="str">
            <v>2025년 4월 1일</v>
          </cell>
          <cell r="M67" t="str">
            <v>2026년 3월 31일</v>
          </cell>
          <cell r="N67" t="str">
            <v>2025년 4월 1일 ~ 2026년 3월 31일</v>
          </cell>
          <cell r="O67" t="str">
            <v>do0815@hanmail.net</v>
          </cell>
        </row>
        <row r="68">
          <cell r="I68" t="str">
            <v>609-87-00128</v>
          </cell>
          <cell r="J68" t="str">
            <v>석 옥 련</v>
          </cell>
          <cell r="K68" t="str">
            <v>경기 수원시 장안구 수성로 175, 6층 6210호(정자동, 스타필드수원)</v>
          </cell>
          <cell r="L68" t="str">
            <v>2025년 4월 1일</v>
          </cell>
          <cell r="M68" t="str">
            <v>2026년 3월 31일</v>
          </cell>
          <cell r="N68" t="str">
            <v>2025년 4월 1일 ~ 2026년 3월 31일</v>
          </cell>
          <cell r="O68" t="str">
            <v>do0815@hanmail.net</v>
          </cell>
        </row>
        <row r="69">
          <cell r="I69" t="str">
            <v>314-27-63783</v>
          </cell>
          <cell r="J69" t="str">
            <v>류 대 열</v>
          </cell>
          <cell r="K69" t="str">
            <v>대전 서구 가수원동 1061 리더스프라자 B동 2~3층</v>
          </cell>
          <cell r="L69" t="str">
            <v>2025년 4월 1일</v>
          </cell>
          <cell r="M69" t="str">
            <v>2025년 5월 31일</v>
          </cell>
          <cell r="N69" t="str">
            <v>2025년 4월 1일 ~ 2025년 5월 31일</v>
          </cell>
          <cell r="O69" t="str">
            <v>kianadol@naver.com</v>
          </cell>
        </row>
        <row r="70">
          <cell r="I70" t="str">
            <v>133-40-01343</v>
          </cell>
          <cell r="J70" t="str">
            <v>최 하 은</v>
          </cell>
          <cell r="K70" t="str">
            <v>경기도 시흥시 서해안로 699, 2층 (배곧동, 시흥 프리미엄 아울렛)</v>
          </cell>
          <cell r="L70" t="str">
            <v>2025년 4월 1일</v>
          </cell>
          <cell r="M70" t="str">
            <v>2026년 3월 31일</v>
          </cell>
          <cell r="N70" t="str">
            <v>2025년 4월 1일 ~ 2026년 3월 31일</v>
          </cell>
          <cell r="O70" t="str">
            <v>hg1634@naver.com</v>
          </cell>
        </row>
        <row r="71">
          <cell r="I71" t="str">
            <v>837-15-00255</v>
          </cell>
          <cell r="J71" t="str">
            <v>안 중 협</v>
          </cell>
          <cell r="K71" t="str">
            <v>경기도 고양시 일산동구 월드고양로 102-33, 2층</v>
          </cell>
          <cell r="L71" t="str">
            <v>2025년 4월 1일</v>
          </cell>
          <cell r="M71" t="str">
            <v>2025년 12월 31일</v>
          </cell>
          <cell r="N71" t="str">
            <v>2025년 4월 1일 ~ 2025년 12월 31일</v>
          </cell>
          <cell r="O71" t="str">
            <v>garnet212@naver.com</v>
          </cell>
        </row>
        <row r="72">
          <cell r="I72" t="str">
            <v>314-27-63783</v>
          </cell>
          <cell r="J72" t="str">
            <v>류 대 열</v>
          </cell>
          <cell r="K72" t="str">
            <v>대전광역시 유성구 계룡로 119(봉명동) 7층</v>
          </cell>
          <cell r="L72" t="str">
            <v>2025년 11월 1일</v>
          </cell>
          <cell r="M72" t="str">
            <v>2026년 3월 31일</v>
          </cell>
          <cell r="N72" t="str">
            <v>2025년 11월 1일 ~ 2026년 3월 31일</v>
          </cell>
          <cell r="O72" t="str">
            <v>kianadol@naver.com</v>
          </cell>
        </row>
      </sheetData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CB5B9-439F-4CBB-BEA2-7DEA2F09578B}">
  <sheetPr>
    <tabColor rgb="FF0070C0"/>
    <pageSetUpPr fitToPage="1"/>
  </sheetPr>
  <dimension ref="A1:N72"/>
  <sheetViews>
    <sheetView showGridLines="0" topLeftCell="A46" zoomScaleNormal="100" zoomScaleSheetLayoutView="100" workbookViewId="0">
      <selection activeCell="F5" sqref="F5"/>
    </sheetView>
  </sheetViews>
  <sheetFormatPr defaultColWidth="9" defaultRowHeight="17.399999999999999"/>
  <cols>
    <col min="1" max="1" width="2.69921875" style="10" customWidth="1"/>
    <col min="2" max="4" width="12.69921875" style="10" customWidth="1"/>
    <col min="5" max="5" width="1.59765625" style="10" customWidth="1"/>
    <col min="6" max="6" width="12.19921875" style="10" bestFit="1" customWidth="1"/>
    <col min="7" max="7" width="1.59765625" style="10" customWidth="1"/>
    <col min="8" max="10" width="12.69921875" style="10" customWidth="1"/>
    <col min="11" max="11" width="12.69921875" style="2" customWidth="1"/>
    <col min="12" max="12" width="2.69921875" style="10" customWidth="1"/>
    <col min="13" max="16384" width="9" style="10"/>
  </cols>
  <sheetData>
    <row r="1" spans="1:14"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N1" s="14"/>
    </row>
    <row r="2" spans="1:14"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</row>
    <row r="3" spans="1:14" ht="20.399999999999999">
      <c r="A3" s="30" t="s">
        <v>152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N3" s="14"/>
    </row>
    <row r="4" spans="1:14"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</row>
    <row r="5" spans="1:14">
      <c r="A5" s="33" t="s">
        <v>45</v>
      </c>
      <c r="B5" s="33"/>
      <c r="C5" s="33"/>
      <c r="D5" s="33"/>
      <c r="E5" s="33"/>
      <c r="F5" s="23" t="s">
        <v>95</v>
      </c>
      <c r="G5" s="19"/>
      <c r="H5" s="21" t="s">
        <v>46</v>
      </c>
      <c r="I5" s="21"/>
      <c r="J5" s="21"/>
      <c r="K5" s="21"/>
      <c r="L5" s="21"/>
    </row>
    <row r="6" spans="1:14">
      <c r="A6" s="31" t="s">
        <v>151</v>
      </c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</row>
    <row r="7" spans="1:14">
      <c r="B7" s="18"/>
      <c r="C7" s="18"/>
      <c r="D7" s="18"/>
      <c r="E7" s="18"/>
      <c r="F7" s="18"/>
      <c r="G7" s="20"/>
      <c r="H7" s="18"/>
      <c r="I7" s="20"/>
      <c r="J7" s="18"/>
      <c r="K7" s="18"/>
      <c r="L7" s="18"/>
    </row>
    <row r="8" spans="1:14"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</row>
    <row r="9" spans="1:14">
      <c r="A9" s="31" t="s">
        <v>2</v>
      </c>
      <c r="B9" s="31"/>
      <c r="C9" s="31"/>
      <c r="D9" s="31"/>
      <c r="E9" s="31"/>
      <c r="F9" s="31"/>
      <c r="G9" s="31"/>
      <c r="H9" s="31"/>
      <c r="I9" s="31"/>
      <c r="J9" s="31"/>
      <c r="K9" s="31"/>
      <c r="L9" s="31"/>
    </row>
    <row r="10" spans="1:14">
      <c r="B10" s="18"/>
      <c r="C10" s="18"/>
      <c r="D10" s="18"/>
      <c r="E10" s="18"/>
      <c r="F10" s="18"/>
      <c r="G10" s="20"/>
      <c r="H10" s="18"/>
      <c r="I10" s="20"/>
      <c r="J10" s="18"/>
      <c r="K10" s="18"/>
      <c r="L10" s="18"/>
    </row>
    <row r="11" spans="1:14">
      <c r="B11" s="18"/>
      <c r="C11" s="18"/>
      <c r="D11" s="18"/>
      <c r="E11" s="18"/>
      <c r="F11" s="18"/>
      <c r="G11" s="20"/>
      <c r="H11" s="18"/>
      <c r="I11" s="20"/>
      <c r="J11" s="18"/>
      <c r="K11" s="18"/>
      <c r="L11" s="18"/>
    </row>
    <row r="12" spans="1:14">
      <c r="B12" s="6" t="s">
        <v>3</v>
      </c>
      <c r="C12" s="6"/>
      <c r="D12" s="6"/>
      <c r="E12" s="6"/>
      <c r="F12" s="6"/>
      <c r="G12" s="6"/>
      <c r="H12" s="6"/>
      <c r="I12" s="6"/>
      <c r="J12" s="6"/>
      <c r="K12" s="6"/>
      <c r="L12" s="6"/>
    </row>
    <row r="13" spans="1:14" s="3" customFormat="1">
      <c r="B13" s="12" t="s">
        <v>153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</row>
    <row r="14" spans="1:14" s="3" customFormat="1"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</row>
    <row r="15" spans="1:14">
      <c r="B15" s="6" t="s">
        <v>5</v>
      </c>
      <c r="C15" s="6"/>
      <c r="D15" s="6"/>
      <c r="E15" s="6"/>
      <c r="F15" s="6"/>
      <c r="G15" s="6"/>
      <c r="H15" s="6"/>
      <c r="I15" s="6"/>
      <c r="J15" s="6"/>
      <c r="K15" s="6"/>
      <c r="L15" s="6"/>
    </row>
    <row r="16" spans="1:14" s="3" customFormat="1">
      <c r="B16" s="12" t="s">
        <v>6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</row>
    <row r="17" spans="2:12" s="3" customFormat="1">
      <c r="B17" s="12" t="s">
        <v>7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</row>
    <row r="18" spans="2:12" s="3" customFormat="1">
      <c r="B18" s="12" t="s">
        <v>8</v>
      </c>
      <c r="C18" s="12"/>
      <c r="D18" s="12"/>
      <c r="E18" s="12"/>
      <c r="F18" s="12"/>
      <c r="G18" s="12"/>
      <c r="H18" s="12"/>
      <c r="I18" s="12"/>
      <c r="J18" s="12"/>
      <c r="K18" s="12"/>
      <c r="L18" s="12"/>
    </row>
    <row r="19" spans="2:12" s="3" customFormat="1"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</row>
    <row r="20" spans="2:12" s="2" customFormat="1">
      <c r="B20" s="6" t="s">
        <v>202</v>
      </c>
      <c r="C20" s="6"/>
      <c r="D20" s="6"/>
      <c r="E20" s="6"/>
      <c r="F20" s="6"/>
      <c r="G20" s="6"/>
      <c r="H20" s="6"/>
      <c r="I20" s="6"/>
      <c r="J20" s="6"/>
      <c r="K20" s="6"/>
      <c r="L20" s="6"/>
    </row>
    <row r="21" spans="2:12" s="27" customFormat="1">
      <c r="B21" s="28" t="s">
        <v>203</v>
      </c>
      <c r="C21" s="28"/>
      <c r="D21" s="28"/>
      <c r="E21" s="28"/>
      <c r="F21" s="28"/>
      <c r="G21" s="28"/>
      <c r="H21" s="28"/>
      <c r="I21" s="28"/>
      <c r="J21" s="28"/>
      <c r="K21" s="28"/>
      <c r="L21" s="28"/>
    </row>
    <row r="22" spans="2:12" s="27" customFormat="1">
      <c r="B22" s="28" t="s">
        <v>204</v>
      </c>
      <c r="C22" s="28"/>
      <c r="D22" s="28"/>
      <c r="E22" s="28"/>
      <c r="F22" s="28"/>
      <c r="G22" s="28"/>
      <c r="H22" s="28"/>
      <c r="I22" s="28"/>
      <c r="J22" s="28"/>
      <c r="K22" s="28"/>
      <c r="L22" s="28"/>
    </row>
    <row r="23" spans="2:12" s="27" customFormat="1">
      <c r="B23" s="28" t="s">
        <v>205</v>
      </c>
      <c r="C23" s="28"/>
      <c r="D23" s="28"/>
      <c r="E23" s="28"/>
      <c r="F23" s="28"/>
      <c r="G23" s="28"/>
      <c r="H23" s="28"/>
      <c r="I23" s="28"/>
      <c r="J23" s="28"/>
      <c r="K23" s="28"/>
      <c r="L23" s="28"/>
    </row>
    <row r="24" spans="2:12" s="27" customFormat="1">
      <c r="B24" s="28" t="s">
        <v>206</v>
      </c>
      <c r="C24" s="28"/>
      <c r="D24" s="28"/>
      <c r="E24" s="28"/>
      <c r="F24" s="28"/>
      <c r="G24" s="28"/>
      <c r="H24" s="28"/>
      <c r="I24" s="28"/>
      <c r="J24" s="28"/>
      <c r="K24" s="28"/>
      <c r="L24" s="28"/>
    </row>
    <row r="25" spans="2:12" s="27" customFormat="1">
      <c r="B25" s="28" t="s">
        <v>201</v>
      </c>
      <c r="C25" s="28"/>
      <c r="D25" s="28"/>
      <c r="E25" s="28"/>
      <c r="F25" s="28"/>
      <c r="G25" s="28"/>
      <c r="H25" s="28"/>
      <c r="I25" s="28"/>
      <c r="J25" s="28"/>
      <c r="K25" s="28"/>
      <c r="L25" s="28"/>
    </row>
    <row r="26" spans="2:12" s="27" customFormat="1">
      <c r="B26" s="28" t="s">
        <v>207</v>
      </c>
      <c r="C26" s="28"/>
      <c r="D26" s="28"/>
      <c r="E26" s="28"/>
      <c r="F26" s="28"/>
      <c r="G26" s="28"/>
      <c r="H26" s="28"/>
      <c r="I26" s="28"/>
      <c r="J26" s="28"/>
      <c r="K26" s="28"/>
      <c r="L26" s="28"/>
    </row>
    <row r="27" spans="2:12" s="27" customFormat="1">
      <c r="B27" s="28" t="s">
        <v>208</v>
      </c>
      <c r="C27" s="28"/>
      <c r="D27" s="28"/>
      <c r="E27" s="28"/>
      <c r="F27" s="28"/>
      <c r="G27" s="28"/>
      <c r="H27" s="28"/>
      <c r="I27" s="28"/>
      <c r="J27" s="28"/>
      <c r="K27" s="28"/>
      <c r="L27" s="28"/>
    </row>
    <row r="28" spans="2:12" s="27" customFormat="1"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</row>
    <row r="29" spans="2:12" ht="17.7" customHeight="1">
      <c r="B29" s="6" t="s">
        <v>12</v>
      </c>
      <c r="C29" s="11"/>
      <c r="D29" s="11"/>
      <c r="E29" s="11"/>
      <c r="F29" s="11"/>
      <c r="G29" s="11"/>
      <c r="H29" s="11"/>
      <c r="I29" s="11"/>
      <c r="J29" s="11"/>
      <c r="K29" s="11"/>
      <c r="L29" s="11"/>
    </row>
    <row r="30" spans="2:12" ht="17.7" customHeight="1">
      <c r="B30" s="12" t="s">
        <v>154</v>
      </c>
      <c r="C30" s="11"/>
      <c r="D30" s="11"/>
      <c r="E30" s="11"/>
      <c r="F30" s="11"/>
      <c r="G30" s="11"/>
      <c r="H30" s="11"/>
      <c r="I30" s="11"/>
      <c r="J30" s="11"/>
      <c r="K30" s="11"/>
      <c r="L30" s="11"/>
    </row>
    <row r="31" spans="2:12" ht="17.7" customHeight="1">
      <c r="B31" s="12" t="s">
        <v>155</v>
      </c>
      <c r="C31" s="11"/>
      <c r="D31" s="11"/>
      <c r="E31" s="11"/>
      <c r="F31" s="11"/>
      <c r="G31" s="11"/>
      <c r="H31" s="11"/>
      <c r="I31" s="11"/>
      <c r="J31" s="11"/>
      <c r="K31" s="11"/>
      <c r="L31" s="11"/>
    </row>
    <row r="32" spans="2:12" ht="17.7" customHeight="1">
      <c r="B32" s="12" t="s">
        <v>156</v>
      </c>
      <c r="C32" s="11"/>
      <c r="D32" s="11"/>
      <c r="E32" s="11"/>
      <c r="F32" s="11"/>
      <c r="G32" s="11"/>
      <c r="H32" s="11"/>
      <c r="I32" s="11"/>
      <c r="J32" s="11"/>
      <c r="K32" s="11"/>
      <c r="L32" s="11"/>
    </row>
    <row r="33" spans="2:12" ht="17.7" customHeight="1">
      <c r="B33" s="12" t="s">
        <v>157</v>
      </c>
      <c r="C33" s="11"/>
      <c r="D33" s="11"/>
      <c r="E33" s="11"/>
      <c r="F33" s="11"/>
      <c r="G33" s="11"/>
      <c r="H33" s="11"/>
      <c r="I33" s="11"/>
      <c r="J33" s="11"/>
      <c r="K33" s="11"/>
      <c r="L33" s="11"/>
    </row>
    <row r="34" spans="2:12" ht="17.7" customHeight="1">
      <c r="B34" s="12"/>
      <c r="C34" s="11"/>
      <c r="D34" s="11"/>
      <c r="E34" s="11"/>
      <c r="F34" s="11"/>
      <c r="G34" s="11"/>
      <c r="H34" s="11"/>
      <c r="I34" s="11"/>
      <c r="J34" s="11"/>
      <c r="K34" s="11"/>
      <c r="L34" s="11"/>
    </row>
    <row r="35" spans="2:12" ht="17.7" customHeight="1">
      <c r="B35" s="6" t="s">
        <v>16</v>
      </c>
      <c r="C35" s="11"/>
      <c r="D35" s="11"/>
      <c r="E35" s="11"/>
      <c r="F35" s="11"/>
      <c r="G35" s="11"/>
      <c r="H35" s="11"/>
      <c r="I35" s="11"/>
      <c r="J35" s="11"/>
      <c r="K35" s="11"/>
      <c r="L35" s="11"/>
    </row>
    <row r="36" spans="2:12" ht="17.7" customHeight="1">
      <c r="B36" s="12" t="s">
        <v>17</v>
      </c>
      <c r="C36" s="11"/>
      <c r="D36" s="11"/>
      <c r="E36" s="11"/>
      <c r="F36" s="11"/>
      <c r="G36" s="11"/>
      <c r="H36" s="11"/>
      <c r="I36" s="11"/>
      <c r="J36" s="11"/>
      <c r="K36" s="11"/>
      <c r="L36" s="11"/>
    </row>
    <row r="37" spans="2:12" ht="17.7" customHeight="1">
      <c r="B37" s="12" t="s">
        <v>18</v>
      </c>
      <c r="C37" s="11"/>
      <c r="D37" s="11"/>
      <c r="E37" s="11"/>
      <c r="F37" s="11"/>
      <c r="G37" s="11"/>
      <c r="H37" s="11"/>
      <c r="I37" s="11"/>
      <c r="J37" s="11"/>
      <c r="K37" s="11"/>
      <c r="L37" s="11"/>
    </row>
    <row r="38" spans="2:12" ht="17.7" customHeight="1">
      <c r="B38" s="12" t="s">
        <v>19</v>
      </c>
      <c r="C38" s="11"/>
      <c r="D38" s="11"/>
      <c r="E38" s="11"/>
      <c r="F38" s="11"/>
      <c r="G38" s="11"/>
      <c r="H38" s="11"/>
      <c r="I38" s="11"/>
      <c r="J38" s="11"/>
      <c r="K38" s="11"/>
      <c r="L38" s="11"/>
    </row>
    <row r="39" spans="2:12" ht="17.7" customHeight="1">
      <c r="B39" s="12" t="s">
        <v>20</v>
      </c>
      <c r="C39" s="11"/>
      <c r="D39" s="11"/>
      <c r="E39" s="11"/>
      <c r="F39" s="11"/>
      <c r="G39" s="11"/>
      <c r="H39" s="11"/>
      <c r="I39" s="11"/>
      <c r="J39" s="11"/>
      <c r="K39" s="11"/>
      <c r="L39" s="11"/>
    </row>
    <row r="40" spans="2:12" ht="17.7" customHeight="1">
      <c r="B40" s="12" t="s">
        <v>21</v>
      </c>
      <c r="C40" s="11"/>
      <c r="D40" s="11"/>
      <c r="E40" s="11"/>
      <c r="F40" s="11"/>
      <c r="G40" s="11"/>
      <c r="H40" s="11"/>
      <c r="I40" s="11"/>
      <c r="J40" s="11"/>
      <c r="K40" s="11"/>
      <c r="L40" s="11"/>
    </row>
    <row r="41" spans="2:12" ht="17.7" customHeight="1">
      <c r="B41" s="12" t="s">
        <v>22</v>
      </c>
      <c r="C41" s="11"/>
      <c r="D41" s="11"/>
      <c r="E41" s="11"/>
      <c r="F41" s="11"/>
      <c r="G41" s="11"/>
      <c r="H41" s="11"/>
      <c r="I41" s="11"/>
      <c r="J41" s="11"/>
      <c r="K41" s="11"/>
      <c r="L41" s="11"/>
    </row>
    <row r="42" spans="2:12" ht="17.7" customHeight="1">
      <c r="B42" s="12" t="s">
        <v>23</v>
      </c>
      <c r="C42" s="11"/>
      <c r="D42" s="11"/>
      <c r="E42" s="11"/>
      <c r="F42" s="11"/>
      <c r="G42" s="11"/>
      <c r="H42" s="11"/>
      <c r="I42" s="11"/>
      <c r="J42" s="11"/>
      <c r="K42" s="11"/>
      <c r="L42" s="11"/>
    </row>
    <row r="43" spans="2:12" ht="17.7" customHeight="1">
      <c r="B43" s="12" t="s">
        <v>24</v>
      </c>
      <c r="C43" s="11"/>
      <c r="D43" s="11"/>
      <c r="E43" s="11"/>
      <c r="F43" s="11"/>
      <c r="G43" s="11"/>
      <c r="H43" s="11"/>
      <c r="I43" s="11"/>
      <c r="J43" s="11"/>
      <c r="K43" s="11"/>
      <c r="L43" s="11"/>
    </row>
    <row r="44" spans="2:12" ht="17.7" customHeight="1">
      <c r="B44" s="8"/>
      <c r="C44" s="11"/>
      <c r="D44" s="11"/>
      <c r="E44" s="11"/>
      <c r="F44" s="11"/>
      <c r="G44" s="11"/>
      <c r="H44" s="11"/>
      <c r="I44" s="11"/>
      <c r="J44" s="11"/>
      <c r="K44" s="11"/>
      <c r="L44" s="11"/>
    </row>
    <row r="45" spans="2:12" ht="17.7" customHeight="1">
      <c r="B45" s="6" t="s">
        <v>25</v>
      </c>
      <c r="C45" s="11"/>
      <c r="D45" s="11"/>
      <c r="E45" s="11"/>
      <c r="F45" s="11"/>
      <c r="G45" s="11"/>
      <c r="H45" s="11"/>
      <c r="I45" s="11"/>
      <c r="J45" s="11"/>
      <c r="K45" s="11"/>
      <c r="L45" s="11"/>
    </row>
    <row r="46" spans="2:12" ht="17.7" customHeight="1">
      <c r="B46" s="12" t="s">
        <v>26</v>
      </c>
      <c r="C46" s="11"/>
      <c r="D46" s="11"/>
      <c r="E46" s="11"/>
      <c r="F46" s="11"/>
      <c r="G46" s="11"/>
      <c r="H46" s="11"/>
      <c r="I46" s="11"/>
      <c r="J46" s="11"/>
      <c r="K46" s="11"/>
      <c r="L46" s="11"/>
    </row>
    <row r="47" spans="2:12" ht="17.7" customHeight="1">
      <c r="B47" s="12" t="s">
        <v>27</v>
      </c>
      <c r="C47" s="11"/>
      <c r="D47" s="11"/>
      <c r="E47" s="11"/>
      <c r="F47" s="11"/>
      <c r="G47" s="11"/>
      <c r="H47" s="11"/>
      <c r="I47" s="11"/>
      <c r="J47" s="11"/>
      <c r="K47" s="11"/>
      <c r="L47" s="11"/>
    </row>
    <row r="48" spans="2:12" ht="17.7" customHeight="1">
      <c r="B48" s="12" t="s">
        <v>28</v>
      </c>
      <c r="C48" s="11"/>
      <c r="D48" s="11"/>
      <c r="E48" s="11"/>
      <c r="F48" s="11"/>
      <c r="G48" s="11"/>
      <c r="H48" s="11"/>
      <c r="I48" s="11"/>
      <c r="J48" s="11"/>
      <c r="K48" s="11"/>
      <c r="L48" s="11"/>
    </row>
    <row r="49" spans="2:12" ht="17.7" customHeight="1">
      <c r="B49" s="12" t="s">
        <v>29</v>
      </c>
      <c r="C49" s="11"/>
      <c r="D49" s="11"/>
      <c r="E49" s="11"/>
      <c r="F49" s="11"/>
      <c r="G49" s="11"/>
      <c r="H49" s="11"/>
      <c r="I49" s="11"/>
      <c r="J49" s="11"/>
      <c r="K49" s="11"/>
      <c r="L49" s="11"/>
    </row>
    <row r="50" spans="2:12" ht="17.7" customHeight="1">
      <c r="B50" s="12" t="s">
        <v>30</v>
      </c>
      <c r="C50" s="11"/>
      <c r="D50" s="11"/>
      <c r="E50" s="11"/>
      <c r="F50" s="11"/>
      <c r="G50" s="11"/>
      <c r="H50" s="11"/>
      <c r="I50" s="11"/>
      <c r="J50" s="11"/>
      <c r="K50" s="11"/>
      <c r="L50" s="11"/>
    </row>
    <row r="51" spans="2:12" ht="17.7" customHeight="1">
      <c r="B51" s="12" t="s">
        <v>31</v>
      </c>
      <c r="C51" s="11"/>
      <c r="D51" s="11"/>
      <c r="E51" s="11"/>
      <c r="F51" s="11"/>
      <c r="G51" s="11"/>
      <c r="H51" s="11"/>
      <c r="I51" s="11"/>
      <c r="J51" s="11"/>
      <c r="K51" s="11"/>
      <c r="L51" s="11"/>
    </row>
    <row r="52" spans="2:12" ht="17.7" customHeight="1">
      <c r="B52" s="8"/>
      <c r="C52" s="11"/>
      <c r="D52" s="11"/>
      <c r="E52" s="11"/>
      <c r="F52" s="11"/>
      <c r="G52" s="11"/>
      <c r="H52" s="11"/>
      <c r="I52" s="11"/>
      <c r="J52" s="11"/>
      <c r="K52" s="11"/>
      <c r="L52" s="11"/>
    </row>
    <row r="53" spans="2:12" s="2" customFormat="1" ht="17.7" customHeight="1">
      <c r="B53" s="8"/>
      <c r="C53" s="11"/>
      <c r="D53" s="11"/>
      <c r="E53" s="11"/>
      <c r="F53" s="11"/>
      <c r="G53" s="11"/>
      <c r="H53" s="11"/>
      <c r="I53" s="11"/>
      <c r="J53" s="11"/>
      <c r="K53" s="11"/>
      <c r="L53" s="1"/>
    </row>
    <row r="54" spans="2:12">
      <c r="D54" s="9"/>
      <c r="E54" s="9"/>
      <c r="F54" s="9"/>
      <c r="G54" s="9"/>
      <c r="H54" s="32">
        <v>46037</v>
      </c>
      <c r="I54" s="32"/>
      <c r="J54" s="32"/>
      <c r="K54" s="9"/>
      <c r="L54" s="11"/>
    </row>
    <row r="55" spans="2:12" ht="17.7" customHeight="1">
      <c r="B55" s="8"/>
      <c r="C55" s="11"/>
      <c r="D55" s="11"/>
      <c r="E55" s="11"/>
      <c r="F55" s="11"/>
      <c r="G55" s="11"/>
      <c r="H55" s="11"/>
      <c r="I55" s="11"/>
      <c r="J55" s="11"/>
      <c r="K55" s="11"/>
      <c r="L55" s="11"/>
    </row>
    <row r="56" spans="2:12" ht="17.7" customHeight="1">
      <c r="B56" s="8"/>
      <c r="C56" s="11"/>
      <c r="D56" s="11"/>
      <c r="E56" s="11"/>
      <c r="F56" s="11"/>
      <c r="G56" s="11"/>
      <c r="H56" s="11"/>
      <c r="I56" s="11"/>
      <c r="J56" s="11"/>
      <c r="K56" s="11"/>
      <c r="L56" s="11"/>
    </row>
    <row r="57" spans="2:12" ht="17.7" customHeight="1">
      <c r="B57" s="20" t="s">
        <v>32</v>
      </c>
      <c r="C57" s="20" t="s">
        <v>33</v>
      </c>
      <c r="D57" s="5" t="s">
        <v>143</v>
      </c>
      <c r="E57" s="20" t="s">
        <v>141</v>
      </c>
      <c r="F57" s="20" t="s">
        <v>144</v>
      </c>
      <c r="G57" s="20" t="s">
        <v>142</v>
      </c>
      <c r="H57" s="5"/>
      <c r="I57" s="5"/>
      <c r="J57" s="13"/>
      <c r="K57" s="13"/>
      <c r="L57" s="11"/>
    </row>
    <row r="58" spans="2:12" ht="17.7" customHeight="1">
      <c r="B58" s="20"/>
      <c r="C58" s="20" t="s">
        <v>35</v>
      </c>
      <c r="D58" s="5" t="s">
        <v>36</v>
      </c>
      <c r="E58" s="5"/>
      <c r="F58" s="5"/>
      <c r="G58" s="5"/>
      <c r="H58" s="5"/>
      <c r="I58" s="5"/>
      <c r="J58" s="13"/>
      <c r="K58" s="13"/>
      <c r="L58" s="11"/>
    </row>
    <row r="59" spans="2:12" ht="17.7" customHeight="1">
      <c r="B59" s="20"/>
      <c r="C59" s="20" t="s">
        <v>37</v>
      </c>
      <c r="D59" s="5" t="s">
        <v>38</v>
      </c>
      <c r="E59" s="5"/>
      <c r="F59" s="5"/>
      <c r="G59" s="5"/>
      <c r="H59" s="5"/>
      <c r="I59" s="5"/>
      <c r="J59" s="20" t="s">
        <v>39</v>
      </c>
      <c r="K59" s="10"/>
      <c r="L59" s="11"/>
    </row>
    <row r="60" spans="2:12" ht="17.7" customHeight="1"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11"/>
    </row>
    <row r="61" spans="2:12" ht="17.7" customHeight="1"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11"/>
    </row>
    <row r="62" spans="2:12" ht="17.7" customHeight="1">
      <c r="B62" s="20" t="s">
        <v>40</v>
      </c>
      <c r="C62" s="20" t="s">
        <v>33</v>
      </c>
      <c r="D62" s="17" t="str">
        <f>VLOOKUP(F5,계약체결용!$B$2:$K$65,7,FALSE)</f>
        <v>퍼시스춘천전시장</v>
      </c>
      <c r="E62" s="20" t="s">
        <v>141</v>
      </c>
      <c r="F62" s="20" t="str">
        <f>VLOOKUP(F5,계약체결용!$B$2:$K$65,8,FALSE)</f>
        <v>221-02-56686</v>
      </c>
      <c r="G62" s="20" t="s">
        <v>142</v>
      </c>
      <c r="H62" s="5"/>
      <c r="I62" s="5"/>
      <c r="J62" s="7"/>
      <c r="K62" s="7"/>
      <c r="L62" s="11"/>
    </row>
    <row r="63" spans="2:12" ht="17.7" customHeight="1">
      <c r="B63" s="20"/>
      <c r="C63" s="20" t="s">
        <v>35</v>
      </c>
      <c r="D63" s="5" t="str">
        <f>VLOOKUP(F5,계약체결용!$B$2:$K$65,10,FALSE)</f>
        <v>강원 춘천시 동면 만천리 700번지</v>
      </c>
      <c r="E63" s="5"/>
      <c r="F63" s="5"/>
      <c r="G63" s="5"/>
      <c r="H63" s="5"/>
      <c r="I63" s="5"/>
      <c r="J63" s="7"/>
      <c r="K63" s="7"/>
      <c r="L63" s="11"/>
    </row>
    <row r="64" spans="2:12" ht="17.7" customHeight="1">
      <c r="B64" s="20"/>
      <c r="C64" s="20" t="s">
        <v>37</v>
      </c>
      <c r="D64" s="5" t="str">
        <f>VLOOKUP(F5,계약체결용!$B$2:$K$65,9,FALSE)</f>
        <v>이 신 구</v>
      </c>
      <c r="E64" s="5"/>
      <c r="F64" s="5"/>
      <c r="G64" s="5"/>
      <c r="H64" s="5"/>
      <c r="I64" s="5"/>
      <c r="J64" s="20" t="s">
        <v>39</v>
      </c>
      <c r="K64" s="10"/>
      <c r="L64" s="8"/>
    </row>
    <row r="65" spans="2:12" ht="17.7" customHeight="1">
      <c r="B65" s="18"/>
      <c r="C65" s="18"/>
      <c r="D65" s="18"/>
      <c r="E65" s="18"/>
      <c r="F65" s="18"/>
      <c r="G65" s="20"/>
      <c r="H65" s="4"/>
      <c r="I65" s="4"/>
      <c r="J65" s="4"/>
      <c r="K65" s="18"/>
      <c r="L65" s="8"/>
    </row>
    <row r="66" spans="2:12" ht="17.7" customHeight="1">
      <c r="B66" s="18"/>
      <c r="C66" s="18"/>
      <c r="D66" s="18"/>
      <c r="E66" s="18"/>
      <c r="F66" s="4"/>
      <c r="G66" s="4"/>
      <c r="H66" s="4"/>
      <c r="I66" s="4"/>
      <c r="J66" s="4"/>
      <c r="K66" s="4"/>
    </row>
    <row r="67" spans="2:12" s="15" customFormat="1" ht="17.7" customHeight="1">
      <c r="K67" s="16"/>
    </row>
    <row r="68" spans="2:12" s="15" customFormat="1" ht="17.7" customHeight="1">
      <c r="K68" s="16"/>
    </row>
    <row r="69" spans="2:12" s="15" customFormat="1" ht="17.7" customHeight="1">
      <c r="K69" s="16"/>
    </row>
    <row r="70" spans="2:12" s="15" customFormat="1" ht="17.7" customHeight="1">
      <c r="K70" s="16"/>
    </row>
    <row r="71" spans="2:12" s="15" customFormat="1" ht="17.7" customHeight="1">
      <c r="K71" s="16"/>
    </row>
    <row r="72" spans="2:12" ht="17.7" customHeight="1"/>
  </sheetData>
  <mergeCells count="5">
    <mergeCell ref="A3:L3"/>
    <mergeCell ref="A6:L6"/>
    <mergeCell ref="A9:L9"/>
    <mergeCell ref="H54:J54"/>
    <mergeCell ref="A5:E5"/>
  </mergeCells>
  <phoneticPr fontId="2" type="noConversion"/>
  <dataValidations count="2">
    <dataValidation type="list" allowBlank="1" showInputMessage="1" showErrorMessage="1" sqref="G5" xr:uid="{A030D2FF-F257-4CAE-B92A-0C627ADD2E18}">
      <formula1>"강릉4, 거제4, 경주4, 구리남양주2, 구미5, 김포5, 김해2, 달서5, 덕진2, 마산6, 봉선5, 부천3, 분당2, 빛고을2, 서대전3, 서산3, 세종2, 수성5, 순천4, 안동5, 안산상록수2, 양산3, 연제4, 원주3, 의정부8, 인천중앙2, 일산킨텍스, 전군2, 중화산4, 진주2, 창원3, 천안불당3, 청남3, 청주6, 청주중앙4, 춘천3, 태릉묵동6, 평택4, 포항2, 포항중앙2, 하단3"</formula1>
    </dataValidation>
    <dataValidation type="list" allowBlank="1" showInputMessage="1" showErrorMessage="1" sqref="F5" xr:uid="{1FD234C1-8637-480F-9467-D7243D905DD0}">
      <formula1>"강릉4,거제4,경주4,구미5,김포5,김해2,달서5,덕진2,마산6,봉선5,부천3,분당2,빛고을3,서대전3,서산4,세종2,수성5,순천4,안동5,안산상록수2,양산3,연제4,원주3,의정부8,인천중앙2,일산킨텍스,전군2,중화산4,진주2,창원3,천안불당3,청남3,청주6,청주중앙4,춘천3,포항2,포항중앙2,하단3,울산5"</formula1>
    </dataValidation>
  </dataValidations>
  <printOptions horizontalCentered="1" verticalCentered="1"/>
  <pageMargins left="0" right="0" top="0.74803149606299213" bottom="0.74803149606299213" header="0.31496062992125984" footer="0.31496062992125984"/>
  <pageSetup paperSize="9" scale="6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E91C5-A580-4DDE-BDB2-7D650A7534BF}">
  <sheetPr>
    <tabColor theme="5" tint="0.79998168889431442"/>
    <pageSetUpPr fitToPage="1"/>
  </sheetPr>
  <dimension ref="A1:L67"/>
  <sheetViews>
    <sheetView showGridLines="0" zoomScaleNormal="100" zoomScaleSheetLayoutView="100" workbookViewId="0">
      <selection activeCell="B22" sqref="B22"/>
    </sheetView>
  </sheetViews>
  <sheetFormatPr defaultColWidth="9" defaultRowHeight="17.399999999999999"/>
  <cols>
    <col min="1" max="1" width="2.69921875" style="10" customWidth="1"/>
    <col min="2" max="8" width="12.69921875" style="10" customWidth="1"/>
    <col min="9" max="9" width="12.69921875" style="2" customWidth="1"/>
    <col min="10" max="10" width="2.69921875" style="10" customWidth="1"/>
    <col min="11" max="16384" width="9" style="10"/>
  </cols>
  <sheetData>
    <row r="1" spans="1:12">
      <c r="B1" s="13"/>
      <c r="C1" s="13"/>
      <c r="D1" s="13"/>
      <c r="E1" s="13"/>
      <c r="F1" s="13"/>
      <c r="G1" s="13"/>
      <c r="H1" s="13"/>
      <c r="I1" s="13"/>
      <c r="J1" s="13"/>
      <c r="L1" s="14"/>
    </row>
    <row r="2" spans="1:12">
      <c r="B2" s="13"/>
      <c r="C2" s="13"/>
      <c r="D2" s="13"/>
      <c r="E2" s="13"/>
      <c r="F2" s="13"/>
      <c r="G2" s="13"/>
      <c r="H2" s="13"/>
      <c r="I2" s="13"/>
      <c r="J2" s="13"/>
    </row>
    <row r="3" spans="1:12" ht="20.399999999999999">
      <c r="A3" s="30" t="s">
        <v>0</v>
      </c>
      <c r="B3" s="30"/>
      <c r="C3" s="30"/>
      <c r="D3" s="30"/>
      <c r="E3" s="30"/>
      <c r="F3" s="30"/>
      <c r="G3" s="30"/>
      <c r="H3" s="30"/>
      <c r="I3" s="30"/>
      <c r="J3" s="30"/>
      <c r="L3" s="14"/>
    </row>
    <row r="4" spans="1:12">
      <c r="B4" s="13"/>
      <c r="C4" s="13"/>
      <c r="D4" s="13"/>
      <c r="E4" s="13"/>
      <c r="F4" s="13"/>
      <c r="G4" s="13"/>
      <c r="H4" s="13"/>
      <c r="I4" s="13"/>
      <c r="J4" s="13"/>
    </row>
    <row r="5" spans="1:12">
      <c r="A5" s="34" t="str">
        <f>"본 합의서는 ㈜일룸 (이하 공급업자)과 롯데영등포점 (이하 대리점) 간에"</f>
        <v>본 합의서는 ㈜일룸 (이하 공급업자)과 롯데영등포점 (이하 대리점) 간에</v>
      </c>
      <c r="B5" s="34"/>
      <c r="C5" s="34"/>
      <c r="D5" s="34"/>
      <c r="E5" s="34"/>
      <c r="F5" s="34"/>
      <c r="G5" s="34"/>
      <c r="H5" s="34"/>
      <c r="I5" s="34"/>
      <c r="J5" s="34"/>
    </row>
    <row r="6" spans="1:12">
      <c r="A6" s="31" t="s">
        <v>1</v>
      </c>
      <c r="B6" s="31"/>
      <c r="C6" s="31"/>
      <c r="D6" s="31"/>
      <c r="E6" s="31"/>
      <c r="F6" s="31"/>
      <c r="G6" s="31"/>
      <c r="H6" s="31"/>
      <c r="I6" s="31"/>
      <c r="J6" s="31"/>
    </row>
    <row r="7" spans="1:12">
      <c r="B7" s="18"/>
      <c r="C7" s="18"/>
      <c r="D7" s="18"/>
      <c r="E7" s="18"/>
      <c r="F7" s="18"/>
      <c r="G7" s="18"/>
      <c r="H7" s="18"/>
      <c r="I7" s="18"/>
      <c r="J7" s="18"/>
    </row>
    <row r="8" spans="1:12">
      <c r="B8" s="13"/>
      <c r="C8" s="13"/>
      <c r="D8" s="13"/>
      <c r="E8" s="13"/>
      <c r="F8" s="13"/>
      <c r="G8" s="13"/>
      <c r="H8" s="13"/>
      <c r="I8" s="13"/>
      <c r="J8" s="13"/>
    </row>
    <row r="9" spans="1:12">
      <c r="A9" s="31" t="s">
        <v>2</v>
      </c>
      <c r="B9" s="31"/>
      <c r="C9" s="31"/>
      <c r="D9" s="31"/>
      <c r="E9" s="31"/>
      <c r="F9" s="31"/>
      <c r="G9" s="31"/>
      <c r="H9" s="31"/>
      <c r="I9" s="31"/>
      <c r="J9" s="31"/>
    </row>
    <row r="10" spans="1:12">
      <c r="B10" s="18"/>
      <c r="C10" s="18"/>
      <c r="D10" s="18"/>
      <c r="E10" s="18"/>
      <c r="F10" s="18"/>
      <c r="G10" s="18"/>
      <c r="H10" s="18"/>
      <c r="I10" s="18"/>
      <c r="J10" s="18"/>
    </row>
    <row r="11" spans="1:12">
      <c r="B11" s="18"/>
      <c r="C11" s="18"/>
      <c r="D11" s="18"/>
      <c r="E11" s="18"/>
      <c r="F11" s="18"/>
      <c r="G11" s="18"/>
      <c r="H11" s="18"/>
      <c r="I11" s="18"/>
      <c r="J11" s="18"/>
    </row>
    <row r="12" spans="1:12">
      <c r="B12" s="6" t="s">
        <v>3</v>
      </c>
      <c r="C12" s="6"/>
      <c r="D12" s="6"/>
      <c r="E12" s="6"/>
      <c r="F12" s="6"/>
      <c r="G12" s="6"/>
      <c r="H12" s="6"/>
      <c r="I12" s="6"/>
      <c r="J12" s="6"/>
    </row>
    <row r="13" spans="1:12" s="3" customFormat="1">
      <c r="B13" s="12" t="s">
        <v>4</v>
      </c>
      <c r="C13" s="12"/>
      <c r="D13" s="12"/>
      <c r="E13" s="12"/>
      <c r="F13" s="12"/>
      <c r="G13" s="12"/>
      <c r="H13" s="12"/>
      <c r="I13" s="12"/>
      <c r="J13" s="12"/>
    </row>
    <row r="14" spans="1:12" s="3" customFormat="1">
      <c r="B14" s="12"/>
      <c r="C14" s="12"/>
      <c r="D14" s="12"/>
      <c r="E14" s="12"/>
      <c r="F14" s="12"/>
      <c r="G14" s="12"/>
      <c r="H14" s="12"/>
      <c r="I14" s="12"/>
      <c r="J14" s="12"/>
    </row>
    <row r="15" spans="1:12">
      <c r="B15" s="6" t="s">
        <v>5</v>
      </c>
      <c r="C15" s="6"/>
      <c r="D15" s="6"/>
      <c r="E15" s="6"/>
      <c r="F15" s="6"/>
      <c r="G15" s="6"/>
      <c r="H15" s="6"/>
      <c r="I15" s="6"/>
      <c r="J15" s="6"/>
    </row>
    <row r="16" spans="1:12" s="3" customFormat="1">
      <c r="B16" s="12" t="s">
        <v>6</v>
      </c>
      <c r="C16" s="12"/>
      <c r="D16" s="12"/>
      <c r="E16" s="12"/>
      <c r="F16" s="12"/>
      <c r="G16" s="12"/>
      <c r="H16" s="12"/>
      <c r="I16" s="12"/>
      <c r="J16" s="12"/>
    </row>
    <row r="17" spans="2:10" s="3" customFormat="1">
      <c r="B17" s="12" t="s">
        <v>7</v>
      </c>
      <c r="C17" s="12"/>
      <c r="D17" s="12"/>
      <c r="E17" s="12"/>
      <c r="F17" s="12"/>
      <c r="G17" s="12"/>
      <c r="H17" s="12"/>
      <c r="I17" s="12"/>
      <c r="J17" s="12"/>
    </row>
    <row r="18" spans="2:10" s="3" customFormat="1">
      <c r="B18" s="12" t="s">
        <v>8</v>
      </c>
      <c r="C18" s="12"/>
      <c r="D18" s="12"/>
      <c r="E18" s="12"/>
      <c r="F18" s="12"/>
      <c r="G18" s="12"/>
      <c r="H18" s="12"/>
      <c r="I18" s="12"/>
      <c r="J18" s="12"/>
    </row>
    <row r="19" spans="2:10" s="3" customFormat="1">
      <c r="B19" s="12"/>
      <c r="C19" s="12"/>
      <c r="D19" s="12"/>
      <c r="E19" s="12"/>
      <c r="F19" s="12"/>
      <c r="G19" s="12"/>
      <c r="H19" s="12"/>
      <c r="I19" s="12"/>
      <c r="J19" s="12"/>
    </row>
    <row r="20" spans="2:10" s="2" customFormat="1">
      <c r="B20" s="6" t="s">
        <v>9</v>
      </c>
      <c r="C20" s="6"/>
      <c r="D20" s="6"/>
      <c r="E20" s="6"/>
      <c r="F20" s="6"/>
      <c r="G20" s="6"/>
      <c r="H20" s="6"/>
      <c r="I20" s="6"/>
      <c r="J20" s="6"/>
    </row>
    <row r="21" spans="2:10" s="3" customFormat="1">
      <c r="B21" s="12" t="s">
        <v>41</v>
      </c>
      <c r="C21" s="12"/>
      <c r="D21" s="12"/>
      <c r="E21" s="12"/>
      <c r="F21" s="12"/>
      <c r="G21" s="12"/>
      <c r="H21" s="12"/>
      <c r="I21" s="12"/>
      <c r="J21" s="12"/>
    </row>
    <row r="22" spans="2:10" s="3" customFormat="1">
      <c r="B22" s="12" t="s">
        <v>10</v>
      </c>
      <c r="C22" s="12"/>
      <c r="D22" s="12"/>
      <c r="E22" s="12"/>
      <c r="F22" s="12"/>
      <c r="G22" s="12"/>
      <c r="H22" s="12"/>
      <c r="I22" s="12"/>
      <c r="J22" s="12"/>
    </row>
    <row r="23" spans="2:10" s="3" customFormat="1">
      <c r="B23" s="12" t="s">
        <v>11</v>
      </c>
      <c r="C23" s="12"/>
      <c r="D23" s="12"/>
      <c r="E23" s="12"/>
      <c r="F23" s="12"/>
      <c r="G23" s="12"/>
      <c r="H23" s="12"/>
      <c r="I23" s="12"/>
      <c r="J23" s="12"/>
    </row>
    <row r="24" spans="2:10" s="3" customFormat="1">
      <c r="B24" s="12"/>
      <c r="C24" s="12"/>
      <c r="D24" s="12"/>
      <c r="E24" s="12"/>
      <c r="F24" s="12"/>
      <c r="G24" s="12"/>
      <c r="H24" s="12"/>
      <c r="I24" s="12"/>
      <c r="J24" s="12"/>
    </row>
    <row r="25" spans="2:10" ht="17.7" customHeight="1">
      <c r="B25" s="6" t="s">
        <v>12</v>
      </c>
      <c r="C25" s="11"/>
      <c r="D25" s="11"/>
      <c r="E25" s="11"/>
      <c r="F25" s="11"/>
      <c r="G25" s="11"/>
      <c r="H25" s="11"/>
      <c r="I25" s="11"/>
      <c r="J25" s="11"/>
    </row>
    <row r="26" spans="2:10" ht="17.7" customHeight="1">
      <c r="B26" s="12" t="s">
        <v>13</v>
      </c>
      <c r="C26" s="11"/>
      <c r="D26" s="11"/>
      <c r="E26" s="11"/>
      <c r="F26" s="11"/>
      <c r="G26" s="11"/>
      <c r="H26" s="11"/>
      <c r="I26" s="11"/>
      <c r="J26" s="11"/>
    </row>
    <row r="27" spans="2:10" ht="17.7" customHeight="1">
      <c r="B27" s="12" t="s">
        <v>14</v>
      </c>
      <c r="C27" s="11"/>
      <c r="D27" s="11"/>
      <c r="E27" s="11"/>
      <c r="F27" s="11"/>
      <c r="G27" s="11"/>
      <c r="H27" s="11"/>
      <c r="I27" s="11"/>
      <c r="J27" s="11"/>
    </row>
    <row r="28" spans="2:10" ht="17.7" customHeight="1">
      <c r="B28" s="12" t="s">
        <v>15</v>
      </c>
      <c r="C28" s="11"/>
      <c r="D28" s="11"/>
      <c r="E28" s="11"/>
      <c r="F28" s="11"/>
      <c r="G28" s="11"/>
      <c r="H28" s="11"/>
      <c r="I28" s="11"/>
      <c r="J28" s="11"/>
    </row>
    <row r="29" spans="2:10" ht="17.7" customHeight="1">
      <c r="B29" s="12"/>
      <c r="C29" s="11"/>
      <c r="D29" s="11"/>
      <c r="E29" s="11"/>
      <c r="F29" s="11"/>
      <c r="G29" s="11"/>
      <c r="H29" s="11"/>
      <c r="I29" s="11"/>
      <c r="J29" s="11"/>
    </row>
    <row r="30" spans="2:10" ht="17.7" customHeight="1">
      <c r="B30" s="6" t="s">
        <v>16</v>
      </c>
      <c r="C30" s="11"/>
      <c r="D30" s="11"/>
      <c r="E30" s="11"/>
      <c r="F30" s="11"/>
      <c r="G30" s="11"/>
      <c r="H30" s="11"/>
      <c r="I30" s="11"/>
      <c r="J30" s="11"/>
    </row>
    <row r="31" spans="2:10" ht="17.7" customHeight="1">
      <c r="B31" s="12" t="s">
        <v>17</v>
      </c>
      <c r="C31" s="11"/>
      <c r="D31" s="11"/>
      <c r="E31" s="11"/>
      <c r="F31" s="11"/>
      <c r="G31" s="11"/>
      <c r="H31" s="11"/>
      <c r="I31" s="11"/>
      <c r="J31" s="11"/>
    </row>
    <row r="32" spans="2:10" ht="17.7" customHeight="1">
      <c r="B32" s="12" t="s">
        <v>18</v>
      </c>
      <c r="C32" s="11"/>
      <c r="D32" s="11"/>
      <c r="E32" s="11"/>
      <c r="F32" s="11"/>
      <c r="G32" s="11"/>
      <c r="H32" s="11"/>
      <c r="I32" s="11"/>
      <c r="J32" s="11"/>
    </row>
    <row r="33" spans="2:10" ht="17.7" customHeight="1">
      <c r="B33" s="12" t="s">
        <v>19</v>
      </c>
      <c r="C33" s="11"/>
      <c r="D33" s="11"/>
      <c r="E33" s="11"/>
      <c r="F33" s="11"/>
      <c r="G33" s="11"/>
      <c r="H33" s="11"/>
      <c r="I33" s="11"/>
      <c r="J33" s="11"/>
    </row>
    <row r="34" spans="2:10" ht="17.7" customHeight="1">
      <c r="B34" s="12" t="s">
        <v>20</v>
      </c>
      <c r="C34" s="11"/>
      <c r="D34" s="11"/>
      <c r="E34" s="11"/>
      <c r="F34" s="11"/>
      <c r="G34" s="11"/>
      <c r="H34" s="11"/>
      <c r="I34" s="11"/>
      <c r="J34" s="11"/>
    </row>
    <row r="35" spans="2:10" ht="17.7" customHeight="1">
      <c r="B35" s="12" t="s">
        <v>21</v>
      </c>
      <c r="C35" s="11"/>
      <c r="D35" s="11"/>
      <c r="E35" s="11"/>
      <c r="F35" s="11"/>
      <c r="G35" s="11"/>
      <c r="H35" s="11"/>
      <c r="I35" s="11"/>
      <c r="J35" s="11"/>
    </row>
    <row r="36" spans="2:10" ht="17.7" customHeight="1">
      <c r="B36" s="12" t="s">
        <v>22</v>
      </c>
      <c r="C36" s="11"/>
      <c r="D36" s="11"/>
      <c r="E36" s="11"/>
      <c r="F36" s="11"/>
      <c r="G36" s="11"/>
      <c r="H36" s="11"/>
      <c r="I36" s="11"/>
      <c r="J36" s="11"/>
    </row>
    <row r="37" spans="2:10" ht="17.7" customHeight="1">
      <c r="B37" s="12" t="s">
        <v>23</v>
      </c>
      <c r="C37" s="11"/>
      <c r="D37" s="11"/>
      <c r="E37" s="11"/>
      <c r="F37" s="11"/>
      <c r="G37" s="11"/>
      <c r="H37" s="11"/>
      <c r="I37" s="11"/>
      <c r="J37" s="11"/>
    </row>
    <row r="38" spans="2:10" ht="17.7" customHeight="1">
      <c r="B38" s="12" t="s">
        <v>24</v>
      </c>
      <c r="C38" s="11"/>
      <c r="D38" s="11"/>
      <c r="E38" s="11"/>
      <c r="F38" s="11"/>
      <c r="G38" s="11"/>
      <c r="H38" s="11"/>
      <c r="I38" s="11"/>
      <c r="J38" s="11"/>
    </row>
    <row r="39" spans="2:10" ht="17.7" customHeight="1">
      <c r="B39" s="8"/>
      <c r="C39" s="11"/>
      <c r="D39" s="11"/>
      <c r="E39" s="11"/>
      <c r="F39" s="11"/>
      <c r="G39" s="11"/>
      <c r="H39" s="11"/>
      <c r="I39" s="11"/>
      <c r="J39" s="11"/>
    </row>
    <row r="40" spans="2:10" ht="17.7" customHeight="1">
      <c r="B40" s="6" t="s">
        <v>25</v>
      </c>
      <c r="C40" s="11"/>
      <c r="D40" s="11"/>
      <c r="E40" s="11"/>
      <c r="F40" s="11"/>
      <c r="G40" s="11"/>
      <c r="H40" s="11"/>
      <c r="I40" s="11"/>
      <c r="J40" s="11"/>
    </row>
    <row r="41" spans="2:10" ht="17.7" customHeight="1">
      <c r="B41" s="12" t="s">
        <v>26</v>
      </c>
      <c r="C41" s="11"/>
      <c r="D41" s="11"/>
      <c r="E41" s="11"/>
      <c r="F41" s="11"/>
      <c r="G41" s="11"/>
      <c r="H41" s="11"/>
      <c r="I41" s="11"/>
      <c r="J41" s="11"/>
    </row>
    <row r="42" spans="2:10" ht="17.7" customHeight="1">
      <c r="B42" s="12" t="s">
        <v>27</v>
      </c>
      <c r="C42" s="11"/>
      <c r="D42" s="11"/>
      <c r="E42" s="11"/>
      <c r="F42" s="11"/>
      <c r="G42" s="11"/>
      <c r="H42" s="11"/>
      <c r="I42" s="11"/>
      <c r="J42" s="11"/>
    </row>
    <row r="43" spans="2:10" ht="17.7" customHeight="1">
      <c r="B43" s="12" t="s">
        <v>28</v>
      </c>
      <c r="C43" s="11"/>
      <c r="D43" s="11"/>
      <c r="E43" s="11"/>
      <c r="F43" s="11"/>
      <c r="G43" s="11"/>
      <c r="H43" s="11"/>
      <c r="I43" s="11"/>
      <c r="J43" s="11"/>
    </row>
    <row r="44" spans="2:10" ht="17.7" customHeight="1">
      <c r="B44" s="12" t="s">
        <v>29</v>
      </c>
      <c r="C44" s="11"/>
      <c r="D44" s="11"/>
      <c r="E44" s="11"/>
      <c r="F44" s="11"/>
      <c r="G44" s="11"/>
      <c r="H44" s="11"/>
      <c r="I44" s="11"/>
      <c r="J44" s="11"/>
    </row>
    <row r="45" spans="2:10" ht="17.7" customHeight="1">
      <c r="B45" s="12" t="s">
        <v>30</v>
      </c>
      <c r="C45" s="11"/>
      <c r="D45" s="11"/>
      <c r="E45" s="11"/>
      <c r="F45" s="11"/>
      <c r="G45" s="11"/>
      <c r="H45" s="11"/>
      <c r="I45" s="11"/>
      <c r="J45" s="11"/>
    </row>
    <row r="46" spans="2:10" ht="17.7" customHeight="1">
      <c r="B46" s="12" t="s">
        <v>31</v>
      </c>
      <c r="C46" s="11"/>
      <c r="D46" s="11"/>
      <c r="E46" s="11"/>
      <c r="F46" s="11"/>
      <c r="G46" s="11"/>
      <c r="H46" s="11"/>
      <c r="I46" s="11"/>
      <c r="J46" s="11"/>
    </row>
    <row r="47" spans="2:10" ht="17.7" customHeight="1">
      <c r="B47" s="8"/>
      <c r="C47" s="11"/>
      <c r="D47" s="11"/>
      <c r="E47" s="11"/>
      <c r="F47" s="11"/>
      <c r="G47" s="11"/>
      <c r="H47" s="11"/>
      <c r="I47" s="11"/>
      <c r="J47" s="11"/>
    </row>
    <row r="48" spans="2:10" s="2" customFormat="1" ht="17.7" customHeight="1">
      <c r="B48" s="8"/>
      <c r="C48" s="11"/>
      <c r="D48" s="11"/>
      <c r="E48" s="11"/>
      <c r="F48" s="11"/>
      <c r="G48" s="11"/>
      <c r="H48" s="11"/>
      <c r="I48" s="11"/>
      <c r="J48" s="1"/>
    </row>
    <row r="49" spans="2:10">
      <c r="D49" s="9"/>
      <c r="E49" s="9"/>
      <c r="F49" s="9"/>
      <c r="G49" s="32">
        <v>45869</v>
      </c>
      <c r="H49" s="32"/>
      <c r="I49" s="9"/>
      <c r="J49" s="11"/>
    </row>
    <row r="50" spans="2:10" ht="17.7" customHeight="1">
      <c r="B50" s="8"/>
      <c r="C50" s="11"/>
      <c r="D50" s="11"/>
      <c r="E50" s="11"/>
      <c r="F50" s="11"/>
      <c r="G50" s="11"/>
      <c r="H50" s="11"/>
      <c r="I50" s="11"/>
      <c r="J50" s="11"/>
    </row>
    <row r="51" spans="2:10" ht="17.7" customHeight="1">
      <c r="B51" s="8"/>
      <c r="C51" s="11"/>
      <c r="D51" s="11"/>
      <c r="E51" s="11"/>
      <c r="F51" s="11"/>
      <c r="G51" s="11"/>
      <c r="H51" s="11"/>
      <c r="I51" s="11"/>
      <c r="J51" s="11"/>
    </row>
    <row r="52" spans="2:10" ht="17.7" customHeight="1">
      <c r="B52" s="18" t="s">
        <v>32</v>
      </c>
      <c r="C52" s="18" t="s">
        <v>33</v>
      </c>
      <c r="D52" s="5" t="s">
        <v>34</v>
      </c>
      <c r="E52" s="5"/>
      <c r="F52" s="5"/>
      <c r="G52" s="5"/>
      <c r="H52" s="13"/>
      <c r="I52" s="13"/>
      <c r="J52" s="11"/>
    </row>
    <row r="53" spans="2:10" ht="17.7" customHeight="1">
      <c r="B53" s="18"/>
      <c r="C53" s="18" t="s">
        <v>35</v>
      </c>
      <c r="D53" s="5" t="s">
        <v>36</v>
      </c>
      <c r="E53" s="5"/>
      <c r="F53" s="5"/>
      <c r="G53" s="5"/>
      <c r="H53" s="13"/>
      <c r="I53" s="13"/>
      <c r="J53" s="11"/>
    </row>
    <row r="54" spans="2:10" ht="17.7" customHeight="1">
      <c r="B54" s="18"/>
      <c r="C54" s="18" t="s">
        <v>37</v>
      </c>
      <c r="D54" s="5" t="s">
        <v>38</v>
      </c>
      <c r="E54" s="5"/>
      <c r="F54" s="5"/>
      <c r="G54" s="5"/>
      <c r="H54" s="18" t="s">
        <v>39</v>
      </c>
      <c r="I54" s="10"/>
      <c r="J54" s="11"/>
    </row>
    <row r="55" spans="2:10" ht="17.7" customHeight="1">
      <c r="B55" s="18"/>
      <c r="C55" s="18"/>
      <c r="D55" s="18"/>
      <c r="E55" s="18"/>
      <c r="F55" s="18"/>
      <c r="G55" s="18"/>
      <c r="H55" s="18"/>
      <c r="I55" s="18"/>
      <c r="J55" s="11"/>
    </row>
    <row r="56" spans="2:10" ht="17.7" customHeight="1">
      <c r="B56" s="18"/>
      <c r="C56" s="18"/>
      <c r="D56" s="18"/>
      <c r="E56" s="18"/>
      <c r="F56" s="18"/>
      <c r="G56" s="18"/>
      <c r="H56" s="18"/>
      <c r="I56" s="18"/>
      <c r="J56" s="11"/>
    </row>
    <row r="57" spans="2:10" ht="17.7" customHeight="1">
      <c r="B57" s="18" t="s">
        <v>40</v>
      </c>
      <c r="C57" s="18" t="s">
        <v>33</v>
      </c>
      <c r="D57" s="17" t="s">
        <v>42</v>
      </c>
      <c r="E57" s="5"/>
      <c r="F57" s="5"/>
      <c r="G57" s="5"/>
      <c r="H57" s="7"/>
      <c r="I57" s="7"/>
      <c r="J57" s="11"/>
    </row>
    <row r="58" spans="2:10" ht="17.7" customHeight="1">
      <c r="B58" s="18"/>
      <c r="C58" s="18" t="s">
        <v>35</v>
      </c>
      <c r="D58" s="5" t="s">
        <v>43</v>
      </c>
      <c r="E58" s="5"/>
      <c r="F58" s="5"/>
      <c r="G58" s="5"/>
      <c r="H58" s="7"/>
      <c r="I58" s="7"/>
      <c r="J58" s="11"/>
    </row>
    <row r="59" spans="2:10" ht="17.7" customHeight="1">
      <c r="B59" s="18"/>
      <c r="C59" s="18" t="s">
        <v>37</v>
      </c>
      <c r="D59" s="5" t="s">
        <v>44</v>
      </c>
      <c r="E59" s="5"/>
      <c r="F59" s="5"/>
      <c r="G59" s="5"/>
      <c r="H59" s="18" t="s">
        <v>39</v>
      </c>
      <c r="I59" s="10"/>
      <c r="J59" s="8"/>
    </row>
    <row r="60" spans="2:10" ht="17.7" customHeight="1">
      <c r="B60" s="18"/>
      <c r="C60" s="18"/>
      <c r="D60" s="18"/>
      <c r="E60" s="18"/>
      <c r="F60" s="18"/>
      <c r="G60" s="4"/>
      <c r="H60" s="4"/>
      <c r="I60" s="18"/>
      <c r="J60" s="8"/>
    </row>
    <row r="61" spans="2:10" ht="17.7" customHeight="1">
      <c r="B61" s="18"/>
      <c r="C61" s="18"/>
      <c r="D61" s="18"/>
      <c r="E61" s="18"/>
      <c r="F61" s="4"/>
      <c r="G61" s="4"/>
      <c r="H61" s="4"/>
      <c r="I61" s="4"/>
    </row>
    <row r="62" spans="2:10" s="15" customFormat="1" ht="17.7" customHeight="1">
      <c r="I62" s="16"/>
    </row>
    <row r="63" spans="2:10" s="15" customFormat="1" ht="17.7" customHeight="1">
      <c r="I63" s="16"/>
    </row>
    <row r="64" spans="2:10" s="15" customFormat="1" ht="17.7" customHeight="1">
      <c r="I64" s="16"/>
    </row>
    <row r="65" spans="9:9" s="15" customFormat="1" ht="17.7" customHeight="1">
      <c r="I65" s="16"/>
    </row>
    <row r="66" spans="9:9" s="15" customFormat="1" ht="17.7" customHeight="1">
      <c r="I66" s="16"/>
    </row>
    <row r="67" spans="9:9" ht="17.7" customHeight="1"/>
  </sheetData>
  <mergeCells count="5">
    <mergeCell ref="A3:J3"/>
    <mergeCell ref="A5:J5"/>
    <mergeCell ref="A6:J6"/>
    <mergeCell ref="A9:J9"/>
    <mergeCell ref="G49:H49"/>
  </mergeCells>
  <phoneticPr fontId="2" type="noConversion"/>
  <printOptions horizontalCentered="1" verticalCentered="1"/>
  <pageMargins left="0.70866141732283472" right="0.70866141732283472" top="0.70866141732283472" bottom="0.70866141732283472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74CD6-27C9-4AA0-BCB3-051DD694EDCC}">
  <sheetPr>
    <tabColor rgb="FF0070C0"/>
    <pageSetUpPr fitToPage="1"/>
  </sheetPr>
  <dimension ref="A1:N72"/>
  <sheetViews>
    <sheetView showGridLines="0" zoomScaleNormal="100" zoomScaleSheetLayoutView="100" workbookViewId="0">
      <selection activeCell="F5" sqref="F5"/>
    </sheetView>
  </sheetViews>
  <sheetFormatPr defaultColWidth="9" defaultRowHeight="17.399999999999999"/>
  <cols>
    <col min="1" max="1" width="2.69921875" style="10" customWidth="1"/>
    <col min="2" max="4" width="12.69921875" style="10" customWidth="1"/>
    <col min="5" max="5" width="1.59765625" style="10" customWidth="1"/>
    <col min="6" max="6" width="12.19921875" style="10" bestFit="1" customWidth="1"/>
    <col min="7" max="7" width="1.59765625" style="10" customWidth="1"/>
    <col min="8" max="10" width="12.69921875" style="10" customWidth="1"/>
    <col min="11" max="11" width="12.69921875" style="2" customWidth="1"/>
    <col min="12" max="12" width="2.69921875" style="10" customWidth="1"/>
    <col min="13" max="16384" width="9" style="10"/>
  </cols>
  <sheetData>
    <row r="1" spans="1:14"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N1" s="14"/>
    </row>
    <row r="2" spans="1:14"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</row>
    <row r="3" spans="1:14" ht="20.399999999999999">
      <c r="A3" s="30" t="s">
        <v>0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N3" s="14"/>
    </row>
    <row r="4" spans="1:14"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</row>
    <row r="5" spans="1:14">
      <c r="A5" s="33" t="s">
        <v>45</v>
      </c>
      <c r="B5" s="33"/>
      <c r="C5" s="33"/>
      <c r="D5" s="33"/>
      <c r="E5" s="33"/>
      <c r="F5" s="19" t="s">
        <v>210</v>
      </c>
      <c r="G5" s="19"/>
      <c r="H5" s="21" t="s">
        <v>46</v>
      </c>
      <c r="I5" s="21"/>
      <c r="J5" s="21"/>
      <c r="K5" s="21"/>
      <c r="L5" s="21"/>
    </row>
    <row r="6" spans="1:14">
      <c r="A6" s="31" t="s">
        <v>150</v>
      </c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</row>
    <row r="7" spans="1:14"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</row>
    <row r="8" spans="1:14"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</row>
    <row r="9" spans="1:14">
      <c r="A9" s="31" t="s">
        <v>2</v>
      </c>
      <c r="B9" s="31"/>
      <c r="C9" s="31"/>
      <c r="D9" s="31"/>
      <c r="E9" s="31"/>
      <c r="F9" s="31"/>
      <c r="G9" s="31"/>
      <c r="H9" s="31"/>
      <c r="I9" s="31"/>
      <c r="J9" s="31"/>
      <c r="K9" s="31"/>
      <c r="L9" s="31"/>
    </row>
    <row r="10" spans="1:14"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</row>
    <row r="11" spans="1:14"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</row>
    <row r="12" spans="1:14">
      <c r="B12" s="6" t="s">
        <v>3</v>
      </c>
      <c r="C12" s="6"/>
      <c r="D12" s="6"/>
      <c r="E12" s="6"/>
      <c r="F12" s="6"/>
      <c r="G12" s="6"/>
      <c r="H12" s="6"/>
      <c r="I12" s="6"/>
      <c r="J12" s="6"/>
      <c r="K12" s="6"/>
      <c r="L12" s="6"/>
    </row>
    <row r="13" spans="1:14" s="3" customFormat="1">
      <c r="B13" s="12" t="s">
        <v>153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</row>
    <row r="14" spans="1:14" s="3" customFormat="1"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</row>
    <row r="15" spans="1:14">
      <c r="B15" s="6" t="s">
        <v>5</v>
      </c>
      <c r="C15" s="6"/>
      <c r="D15" s="6"/>
      <c r="E15" s="6"/>
      <c r="F15" s="6"/>
      <c r="G15" s="6"/>
      <c r="H15" s="6"/>
      <c r="I15" s="6"/>
      <c r="J15" s="6"/>
      <c r="K15" s="6"/>
      <c r="L15" s="6"/>
    </row>
    <row r="16" spans="1:14" s="3" customFormat="1">
      <c r="B16" s="12" t="s">
        <v>6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</row>
    <row r="17" spans="2:12" s="3" customFormat="1">
      <c r="B17" s="12" t="s">
        <v>7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</row>
    <row r="18" spans="2:12" s="3" customFormat="1">
      <c r="B18" s="12" t="s">
        <v>8</v>
      </c>
      <c r="C18" s="12"/>
      <c r="D18" s="12"/>
      <c r="E18" s="12"/>
      <c r="F18" s="12"/>
      <c r="G18" s="12"/>
      <c r="H18" s="12"/>
      <c r="I18" s="12"/>
      <c r="J18" s="12"/>
      <c r="K18" s="12"/>
      <c r="L18" s="12"/>
    </row>
    <row r="19" spans="2:12" s="3" customFormat="1"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</row>
    <row r="20" spans="2:12" s="2" customFormat="1">
      <c r="B20" s="6" t="s">
        <v>202</v>
      </c>
      <c r="C20" s="6"/>
      <c r="D20" s="6"/>
      <c r="E20" s="6"/>
      <c r="F20" s="6"/>
      <c r="G20" s="6"/>
      <c r="H20" s="6"/>
      <c r="I20" s="6"/>
      <c r="J20" s="6"/>
      <c r="K20" s="6"/>
      <c r="L20" s="6"/>
    </row>
    <row r="21" spans="2:12" s="27" customFormat="1">
      <c r="B21" s="28" t="s">
        <v>203</v>
      </c>
      <c r="C21" s="28"/>
      <c r="D21" s="28"/>
      <c r="E21" s="28"/>
      <c r="F21" s="28"/>
      <c r="G21" s="28"/>
      <c r="H21" s="28"/>
      <c r="I21" s="28"/>
      <c r="J21" s="28"/>
      <c r="K21" s="28"/>
      <c r="L21" s="28"/>
    </row>
    <row r="22" spans="2:12" s="27" customFormat="1">
      <c r="B22" s="28" t="s">
        <v>204</v>
      </c>
      <c r="C22" s="28"/>
      <c r="D22" s="28"/>
      <c r="E22" s="28"/>
      <c r="F22" s="28"/>
      <c r="G22" s="28"/>
      <c r="H22" s="28"/>
      <c r="I22" s="28"/>
      <c r="J22" s="28"/>
      <c r="K22" s="28"/>
      <c r="L22" s="28"/>
    </row>
    <row r="23" spans="2:12" s="27" customFormat="1">
      <c r="B23" s="28" t="s">
        <v>209</v>
      </c>
      <c r="C23" s="28"/>
      <c r="D23" s="28"/>
      <c r="E23" s="28"/>
      <c r="F23" s="28"/>
      <c r="G23" s="28"/>
      <c r="H23" s="28"/>
      <c r="I23" s="28"/>
      <c r="J23" s="28"/>
      <c r="K23" s="28"/>
      <c r="L23" s="28"/>
    </row>
    <row r="24" spans="2:12" s="27" customFormat="1">
      <c r="B24" s="28" t="s">
        <v>206</v>
      </c>
      <c r="C24" s="28"/>
      <c r="D24" s="28"/>
      <c r="E24" s="28"/>
      <c r="F24" s="28"/>
      <c r="G24" s="28"/>
      <c r="H24" s="28"/>
      <c r="I24" s="28"/>
      <c r="J24" s="28"/>
      <c r="K24" s="28"/>
      <c r="L24" s="28"/>
    </row>
    <row r="25" spans="2:12" s="27" customFormat="1">
      <c r="B25" s="28" t="s">
        <v>201</v>
      </c>
      <c r="C25" s="28"/>
      <c r="D25" s="28"/>
      <c r="E25" s="28"/>
      <c r="F25" s="28"/>
      <c r="G25" s="28"/>
      <c r="H25" s="28"/>
      <c r="I25" s="28"/>
      <c r="J25" s="28"/>
      <c r="K25" s="28"/>
      <c r="L25" s="28"/>
    </row>
    <row r="26" spans="2:12" s="27" customFormat="1">
      <c r="B26" s="28" t="s">
        <v>207</v>
      </c>
      <c r="C26" s="28"/>
      <c r="D26" s="28"/>
      <c r="E26" s="28"/>
      <c r="F26" s="28"/>
      <c r="G26" s="28"/>
      <c r="H26" s="28"/>
      <c r="I26" s="28"/>
      <c r="J26" s="28"/>
      <c r="K26" s="28"/>
      <c r="L26" s="28"/>
    </row>
    <row r="27" spans="2:12" s="27" customFormat="1">
      <c r="B27" s="28" t="s">
        <v>208</v>
      </c>
      <c r="C27" s="28"/>
      <c r="D27" s="28"/>
      <c r="E27" s="28"/>
      <c r="F27" s="28"/>
      <c r="G27" s="28"/>
      <c r="H27" s="28"/>
      <c r="I27" s="28"/>
      <c r="J27" s="28"/>
      <c r="K27" s="28"/>
      <c r="L27" s="28"/>
    </row>
    <row r="28" spans="2:12" s="27" customFormat="1"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</row>
    <row r="29" spans="2:12" ht="17.7" customHeight="1">
      <c r="B29" s="6" t="s">
        <v>12</v>
      </c>
      <c r="C29" s="11"/>
      <c r="D29" s="11"/>
      <c r="E29" s="11"/>
      <c r="F29" s="11"/>
      <c r="G29" s="11"/>
      <c r="H29" s="11"/>
      <c r="I29" s="11"/>
      <c r="J29" s="11"/>
      <c r="K29" s="11"/>
      <c r="L29" s="11"/>
    </row>
    <row r="30" spans="2:12" ht="17.7" customHeight="1">
      <c r="B30" s="12" t="s">
        <v>154</v>
      </c>
      <c r="C30" s="11"/>
      <c r="D30" s="11"/>
      <c r="E30" s="11"/>
      <c r="F30" s="11"/>
      <c r="G30" s="11"/>
      <c r="H30" s="11"/>
      <c r="I30" s="11"/>
      <c r="J30" s="11"/>
      <c r="K30" s="11"/>
      <c r="L30" s="11"/>
    </row>
    <row r="31" spans="2:12" ht="17.7" customHeight="1">
      <c r="B31" s="12" t="s">
        <v>155</v>
      </c>
      <c r="C31" s="11"/>
      <c r="D31" s="11"/>
      <c r="E31" s="11"/>
      <c r="F31" s="11"/>
      <c r="G31" s="11"/>
      <c r="H31" s="11"/>
      <c r="I31" s="11"/>
      <c r="J31" s="11"/>
      <c r="K31" s="11"/>
      <c r="L31" s="11"/>
    </row>
    <row r="32" spans="2:12" ht="17.7" customHeight="1">
      <c r="B32" s="12" t="s">
        <v>156</v>
      </c>
      <c r="C32" s="11"/>
      <c r="D32" s="11"/>
      <c r="E32" s="11"/>
      <c r="F32" s="11"/>
      <c r="G32" s="11"/>
      <c r="H32" s="11"/>
      <c r="I32" s="11"/>
      <c r="J32" s="11"/>
      <c r="K32" s="11"/>
      <c r="L32" s="11"/>
    </row>
    <row r="33" spans="2:12" ht="17.7" customHeight="1">
      <c r="B33" s="12" t="s">
        <v>157</v>
      </c>
      <c r="C33" s="11"/>
      <c r="D33" s="11"/>
      <c r="E33" s="11"/>
      <c r="F33" s="11"/>
      <c r="G33" s="11"/>
      <c r="H33" s="11"/>
      <c r="I33" s="11"/>
      <c r="J33" s="11"/>
      <c r="K33" s="11"/>
      <c r="L33" s="11"/>
    </row>
    <row r="34" spans="2:12" ht="17.7" customHeight="1">
      <c r="B34" s="12"/>
      <c r="C34" s="11"/>
      <c r="D34" s="11"/>
      <c r="E34" s="11"/>
      <c r="F34" s="11"/>
      <c r="G34" s="11"/>
      <c r="H34" s="11"/>
      <c r="I34" s="11"/>
      <c r="J34" s="11"/>
      <c r="K34" s="11"/>
      <c r="L34" s="11"/>
    </row>
    <row r="35" spans="2:12" ht="17.7" customHeight="1">
      <c r="B35" s="6" t="s">
        <v>16</v>
      </c>
      <c r="C35" s="11"/>
      <c r="D35" s="11"/>
      <c r="E35" s="11"/>
      <c r="F35" s="11"/>
      <c r="G35" s="11"/>
      <c r="H35" s="11"/>
      <c r="I35" s="11"/>
      <c r="J35" s="11"/>
      <c r="K35" s="11"/>
      <c r="L35" s="11"/>
    </row>
    <row r="36" spans="2:12" ht="17.7" customHeight="1">
      <c r="B36" s="12" t="s">
        <v>17</v>
      </c>
      <c r="C36" s="11"/>
      <c r="D36" s="11"/>
      <c r="E36" s="11"/>
      <c r="F36" s="11"/>
      <c r="G36" s="11"/>
      <c r="H36" s="11"/>
      <c r="I36" s="11"/>
      <c r="J36" s="11"/>
      <c r="K36" s="11"/>
      <c r="L36" s="11"/>
    </row>
    <row r="37" spans="2:12" ht="17.7" customHeight="1">
      <c r="B37" s="12" t="s">
        <v>18</v>
      </c>
      <c r="C37" s="11"/>
      <c r="D37" s="11"/>
      <c r="E37" s="11"/>
      <c r="F37" s="11"/>
      <c r="G37" s="11"/>
      <c r="H37" s="11"/>
      <c r="I37" s="11"/>
      <c r="J37" s="11"/>
      <c r="K37" s="11"/>
      <c r="L37" s="11"/>
    </row>
    <row r="38" spans="2:12" ht="17.7" customHeight="1">
      <c r="B38" s="12" t="s">
        <v>19</v>
      </c>
      <c r="C38" s="11"/>
      <c r="D38" s="11"/>
      <c r="E38" s="11"/>
      <c r="F38" s="11"/>
      <c r="G38" s="11"/>
      <c r="H38" s="11"/>
      <c r="I38" s="11"/>
      <c r="J38" s="11"/>
      <c r="K38" s="11"/>
      <c r="L38" s="11"/>
    </row>
    <row r="39" spans="2:12" ht="17.7" customHeight="1">
      <c r="B39" s="12" t="s">
        <v>20</v>
      </c>
      <c r="C39" s="11"/>
      <c r="D39" s="11"/>
      <c r="E39" s="11"/>
      <c r="F39" s="11"/>
      <c r="G39" s="11"/>
      <c r="H39" s="11"/>
      <c r="I39" s="11"/>
      <c r="J39" s="11"/>
      <c r="K39" s="11"/>
      <c r="L39" s="11"/>
    </row>
    <row r="40" spans="2:12" ht="17.7" customHeight="1">
      <c r="B40" s="12" t="s">
        <v>21</v>
      </c>
      <c r="C40" s="11"/>
      <c r="D40" s="11"/>
      <c r="E40" s="11"/>
      <c r="F40" s="11"/>
      <c r="G40" s="11"/>
      <c r="H40" s="11"/>
      <c r="I40" s="11"/>
      <c r="J40" s="11"/>
      <c r="K40" s="11"/>
      <c r="L40" s="11"/>
    </row>
    <row r="41" spans="2:12" ht="17.7" customHeight="1">
      <c r="B41" s="12" t="s">
        <v>22</v>
      </c>
      <c r="C41" s="11"/>
      <c r="D41" s="11"/>
      <c r="E41" s="11"/>
      <c r="F41" s="11"/>
      <c r="G41" s="11"/>
      <c r="H41" s="11"/>
      <c r="I41" s="11"/>
      <c r="J41" s="11"/>
      <c r="K41" s="11"/>
      <c r="L41" s="11"/>
    </row>
    <row r="42" spans="2:12" ht="17.7" customHeight="1">
      <c r="B42" s="12" t="s">
        <v>23</v>
      </c>
      <c r="C42" s="11"/>
      <c r="D42" s="11"/>
      <c r="E42" s="11"/>
      <c r="F42" s="11"/>
      <c r="G42" s="11"/>
      <c r="H42" s="11"/>
      <c r="I42" s="11"/>
      <c r="J42" s="11"/>
      <c r="K42" s="11"/>
      <c r="L42" s="11"/>
    </row>
    <row r="43" spans="2:12" ht="17.7" customHeight="1">
      <c r="B43" s="12" t="s">
        <v>24</v>
      </c>
      <c r="C43" s="11"/>
      <c r="D43" s="11"/>
      <c r="E43" s="11"/>
      <c r="F43" s="11"/>
      <c r="G43" s="11"/>
      <c r="H43" s="11"/>
      <c r="I43" s="11"/>
      <c r="J43" s="11"/>
      <c r="K43" s="11"/>
      <c r="L43" s="11"/>
    </row>
    <row r="44" spans="2:12" ht="17.7" customHeight="1">
      <c r="B44" s="8"/>
      <c r="C44" s="11"/>
      <c r="D44" s="11"/>
      <c r="E44" s="11"/>
      <c r="F44" s="11"/>
      <c r="G44" s="11"/>
      <c r="H44" s="11"/>
      <c r="I44" s="11"/>
      <c r="J44" s="11"/>
      <c r="K44" s="11"/>
      <c r="L44" s="11"/>
    </row>
    <row r="45" spans="2:12" ht="17.7" customHeight="1">
      <c r="B45" s="6" t="s">
        <v>25</v>
      </c>
      <c r="C45" s="11"/>
      <c r="D45" s="11"/>
      <c r="E45" s="11"/>
      <c r="F45" s="11"/>
      <c r="G45" s="11"/>
      <c r="H45" s="11"/>
      <c r="I45" s="11"/>
      <c r="J45" s="11"/>
      <c r="K45" s="11"/>
      <c r="L45" s="11"/>
    </row>
    <row r="46" spans="2:12" ht="17.7" customHeight="1">
      <c r="B46" s="12" t="s">
        <v>26</v>
      </c>
      <c r="C46" s="11"/>
      <c r="D46" s="11"/>
      <c r="E46" s="11"/>
      <c r="F46" s="11"/>
      <c r="G46" s="11"/>
      <c r="H46" s="11"/>
      <c r="I46" s="11"/>
      <c r="J46" s="11"/>
      <c r="K46" s="11"/>
      <c r="L46" s="11"/>
    </row>
    <row r="47" spans="2:12" ht="17.7" customHeight="1">
      <c r="B47" s="12" t="s">
        <v>27</v>
      </c>
      <c r="C47" s="11"/>
      <c r="D47" s="11"/>
      <c r="E47" s="11"/>
      <c r="F47" s="11"/>
      <c r="G47" s="11"/>
      <c r="H47" s="11"/>
      <c r="I47" s="11"/>
      <c r="J47" s="11"/>
      <c r="K47" s="11"/>
      <c r="L47" s="11"/>
    </row>
    <row r="48" spans="2:12" ht="17.7" customHeight="1">
      <c r="B48" s="12" t="s">
        <v>28</v>
      </c>
      <c r="C48" s="11"/>
      <c r="D48" s="11"/>
      <c r="E48" s="11"/>
      <c r="F48" s="11"/>
      <c r="G48" s="11"/>
      <c r="H48" s="11"/>
      <c r="I48" s="11"/>
      <c r="J48" s="11"/>
      <c r="K48" s="11"/>
      <c r="L48" s="11"/>
    </row>
    <row r="49" spans="2:12" ht="17.7" customHeight="1">
      <c r="B49" s="12" t="s">
        <v>29</v>
      </c>
      <c r="C49" s="11"/>
      <c r="D49" s="11"/>
      <c r="E49" s="11"/>
      <c r="F49" s="11"/>
      <c r="G49" s="11"/>
      <c r="H49" s="11"/>
      <c r="I49" s="11"/>
      <c r="J49" s="11"/>
      <c r="K49" s="11"/>
      <c r="L49" s="11"/>
    </row>
    <row r="50" spans="2:12" ht="17.7" customHeight="1">
      <c r="B50" s="12" t="s">
        <v>30</v>
      </c>
      <c r="C50" s="11"/>
      <c r="D50" s="11"/>
      <c r="E50" s="11"/>
      <c r="F50" s="11"/>
      <c r="G50" s="11"/>
      <c r="H50" s="11"/>
      <c r="I50" s="11"/>
      <c r="J50" s="11"/>
      <c r="K50" s="11"/>
      <c r="L50" s="11"/>
    </row>
    <row r="51" spans="2:12" ht="17.7" customHeight="1">
      <c r="B51" s="12" t="s">
        <v>31</v>
      </c>
      <c r="C51" s="11"/>
      <c r="D51" s="11"/>
      <c r="E51" s="11"/>
      <c r="F51" s="11"/>
      <c r="G51" s="11"/>
      <c r="H51" s="11"/>
      <c r="I51" s="11"/>
      <c r="J51" s="11"/>
      <c r="K51" s="11"/>
      <c r="L51" s="11"/>
    </row>
    <row r="52" spans="2:12" ht="17.7" customHeight="1">
      <c r="B52" s="8"/>
      <c r="C52" s="11"/>
      <c r="D52" s="11"/>
      <c r="E52" s="11"/>
      <c r="F52" s="11"/>
      <c r="G52" s="11"/>
      <c r="H52" s="11"/>
      <c r="I52" s="11"/>
      <c r="J52" s="11"/>
      <c r="K52" s="11"/>
      <c r="L52" s="11"/>
    </row>
    <row r="53" spans="2:12" s="2" customFormat="1" ht="17.7" customHeight="1">
      <c r="B53" s="8"/>
      <c r="C53" s="11"/>
      <c r="D53" s="11"/>
      <c r="E53" s="11"/>
      <c r="F53" s="11"/>
      <c r="G53" s="11"/>
      <c r="H53" s="11"/>
      <c r="I53" s="11"/>
      <c r="J53" s="11"/>
      <c r="K53" s="11"/>
      <c r="L53" s="1"/>
    </row>
    <row r="54" spans="2:12">
      <c r="D54" s="9"/>
      <c r="E54" s="9"/>
      <c r="F54" s="9"/>
      <c r="G54" s="9"/>
      <c r="H54" s="32">
        <v>46037</v>
      </c>
      <c r="I54" s="32"/>
      <c r="J54" s="32"/>
      <c r="K54" s="9"/>
      <c r="L54" s="11"/>
    </row>
    <row r="55" spans="2:12" ht="17.7" customHeight="1">
      <c r="B55" s="8"/>
      <c r="C55" s="11"/>
      <c r="D55" s="11"/>
      <c r="E55" s="11"/>
      <c r="F55" s="11"/>
      <c r="G55" s="11"/>
      <c r="H55" s="11"/>
      <c r="I55" s="11"/>
      <c r="J55" s="11"/>
      <c r="K55" s="11"/>
      <c r="L55" s="11"/>
    </row>
    <row r="56" spans="2:12" ht="17.7" customHeight="1">
      <c r="B56" s="8"/>
      <c r="C56" s="11"/>
      <c r="D56" s="11"/>
      <c r="E56" s="11"/>
      <c r="F56" s="11"/>
      <c r="G56" s="11"/>
      <c r="H56" s="11"/>
      <c r="I56" s="11"/>
      <c r="J56" s="11"/>
      <c r="K56" s="11"/>
      <c r="L56" s="11"/>
    </row>
    <row r="57" spans="2:12" ht="17.7" customHeight="1">
      <c r="B57" s="20" t="s">
        <v>32</v>
      </c>
      <c r="C57" s="20" t="s">
        <v>33</v>
      </c>
      <c r="D57" s="5" t="s">
        <v>143</v>
      </c>
      <c r="E57" s="20" t="s">
        <v>141</v>
      </c>
      <c r="F57" s="20" t="s">
        <v>144</v>
      </c>
      <c r="G57" s="20" t="s">
        <v>142</v>
      </c>
      <c r="H57" s="5"/>
      <c r="I57" s="5"/>
      <c r="J57" s="13"/>
      <c r="K57" s="13"/>
      <c r="L57" s="11"/>
    </row>
    <row r="58" spans="2:12" ht="17.7" customHeight="1">
      <c r="B58" s="20"/>
      <c r="C58" s="20" t="s">
        <v>35</v>
      </c>
      <c r="D58" s="5" t="s">
        <v>36</v>
      </c>
      <c r="E58" s="5"/>
      <c r="F58" s="5"/>
      <c r="G58" s="5"/>
      <c r="H58" s="5"/>
      <c r="I58" s="5"/>
      <c r="J58" s="13"/>
      <c r="K58" s="13"/>
      <c r="L58" s="11"/>
    </row>
    <row r="59" spans="2:12" ht="17.7" customHeight="1">
      <c r="B59" s="20"/>
      <c r="C59" s="20" t="s">
        <v>37</v>
      </c>
      <c r="D59" s="5" t="s">
        <v>38</v>
      </c>
      <c r="E59" s="5"/>
      <c r="F59" s="5"/>
      <c r="G59" s="5"/>
      <c r="H59" s="5"/>
      <c r="I59" s="5"/>
      <c r="J59" s="20" t="s">
        <v>39</v>
      </c>
      <c r="K59" s="10"/>
      <c r="L59" s="11"/>
    </row>
    <row r="60" spans="2:12" ht="17.7" customHeight="1"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11"/>
    </row>
    <row r="61" spans="2:12" ht="17.7" customHeight="1"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11"/>
    </row>
    <row r="62" spans="2:12" ht="17.7" customHeight="1">
      <c r="B62" s="20" t="s">
        <v>40</v>
      </c>
      <c r="C62" s="20" t="s">
        <v>33</v>
      </c>
      <c r="D62" s="17" t="e">
        <f>VLOOKUP(F5,계약체결용!$B$2:$K$65,7,FALSE)</f>
        <v>#N/A</v>
      </c>
      <c r="E62" s="20" t="s">
        <v>141</v>
      </c>
      <c r="F62" s="20" t="e">
        <f>VLOOKUP(F5,계약체결용!$B$2:$K$65,8,FALSE)</f>
        <v>#N/A</v>
      </c>
      <c r="G62" s="20" t="s">
        <v>142</v>
      </c>
      <c r="H62" s="5"/>
      <c r="I62" s="5"/>
      <c r="J62" s="7"/>
      <c r="K62" s="7"/>
      <c r="L62" s="11"/>
    </row>
    <row r="63" spans="2:12" ht="17.7" customHeight="1">
      <c r="B63" s="20"/>
      <c r="C63" s="20" t="s">
        <v>35</v>
      </c>
      <c r="D63" s="5" t="e">
        <f>VLOOKUP(F5,계약체결용!$B$2:$K$65,10,FALSE)</f>
        <v>#N/A</v>
      </c>
      <c r="E63" s="5"/>
      <c r="F63" s="5"/>
      <c r="G63" s="5"/>
      <c r="H63" s="5"/>
      <c r="I63" s="5"/>
      <c r="J63" s="7"/>
      <c r="K63" s="7"/>
      <c r="L63" s="11"/>
    </row>
    <row r="64" spans="2:12" ht="17.7" customHeight="1">
      <c r="B64" s="20"/>
      <c r="C64" s="20" t="s">
        <v>37</v>
      </c>
      <c r="D64" s="5" t="e">
        <f>VLOOKUP(F5,계약체결용!$B$2:$K$65,9,FALSE)</f>
        <v>#N/A</v>
      </c>
      <c r="E64" s="5"/>
      <c r="F64" s="5"/>
      <c r="G64" s="5"/>
      <c r="H64" s="5"/>
      <c r="I64" s="5"/>
      <c r="J64" s="20" t="s">
        <v>39</v>
      </c>
      <c r="K64" s="10"/>
      <c r="L64" s="8"/>
    </row>
    <row r="65" spans="2:12" ht="17.7" customHeight="1">
      <c r="B65" s="20"/>
      <c r="C65" s="20"/>
      <c r="D65" s="20"/>
      <c r="E65" s="20"/>
      <c r="F65" s="20"/>
      <c r="G65" s="20"/>
      <c r="H65" s="4"/>
      <c r="I65" s="4"/>
      <c r="J65" s="4"/>
      <c r="K65" s="20"/>
      <c r="L65" s="8"/>
    </row>
    <row r="66" spans="2:12" ht="17.7" customHeight="1">
      <c r="B66" s="20"/>
      <c r="C66" s="20"/>
      <c r="D66" s="20"/>
      <c r="E66" s="20"/>
      <c r="F66" s="4"/>
      <c r="G66" s="4"/>
      <c r="H66" s="4"/>
      <c r="I66" s="4"/>
      <c r="J66" s="4"/>
      <c r="K66" s="4"/>
    </row>
    <row r="67" spans="2:12" s="15" customFormat="1" ht="17.7" customHeight="1">
      <c r="K67" s="16"/>
    </row>
    <row r="68" spans="2:12" s="15" customFormat="1" ht="17.7" customHeight="1">
      <c r="K68" s="16"/>
    </row>
    <row r="69" spans="2:12" s="15" customFormat="1" ht="17.7" customHeight="1">
      <c r="K69" s="16"/>
    </row>
    <row r="70" spans="2:12" s="15" customFormat="1" ht="17.7" customHeight="1">
      <c r="K70" s="16"/>
    </row>
    <row r="71" spans="2:12" s="15" customFormat="1" ht="17.7" customHeight="1">
      <c r="K71" s="16"/>
    </row>
    <row r="72" spans="2:12" ht="17.7" customHeight="1"/>
  </sheetData>
  <mergeCells count="5">
    <mergeCell ref="A3:L3"/>
    <mergeCell ref="A5:E5"/>
    <mergeCell ref="A6:L6"/>
    <mergeCell ref="A9:L9"/>
    <mergeCell ref="H54:J54"/>
  </mergeCells>
  <phoneticPr fontId="2" type="noConversion"/>
  <dataValidations count="2">
    <dataValidation type="list" allowBlank="1" showInputMessage="1" showErrorMessage="1" sqref="G5" xr:uid="{433513E0-6F64-4975-A6CA-2A1364C152CA}">
      <formula1>"강릉4, 거제4, 경주4, 구리남양주2, 구미5, 김포5, 김해2, 달서5, 덕진2, 마산6, 봉선5, 부천3, 분당2, 빛고을2, 서대전3, 서산3, 세종2, 수성5, 순천4, 안동5, 안산상록수2, 양산3, 연제4, 원주3, 의정부8, 인천중앙2, 일산킨텍스, 전군2, 중화산4, 진주2, 창원3, 천안불당3, 청남3, 청주6, 청주중앙4, 춘천3, 태릉묵동6, 평택4, 포항2, 포항중앙2, 하단3"</formula1>
    </dataValidation>
    <dataValidation type="list" allowBlank="1" showInputMessage="1" showErrorMessage="1" sqref="F5" xr:uid="{0A1D3798-8C89-4C65-8473-D8350C80A3CC}">
      <formula1>"LXH목동,광천5,대전도안3,안양,인천검단,제주5,천안신방3,기흥4,롯데광명,롯데동부산2,롯데평촌,송도5,스타필드고양,스타필드수원(6층),스타필드수원키즈(3층),신세계대전(팝업),신세계시흥2,신세계파주2 "</formula1>
    </dataValidation>
  </dataValidations>
  <printOptions horizontalCentered="1" verticalCentered="1"/>
  <pageMargins left="0" right="0" top="0.74803149606299213" bottom="0.74803149606299213" header="0.31496062992125984" footer="0.31496062992125984"/>
  <pageSetup paperSize="9" scale="6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36FDE-4106-4802-9FD0-5D34A297BB76}">
  <sheetPr>
    <tabColor rgb="FF0070C0"/>
    <pageSetUpPr fitToPage="1"/>
  </sheetPr>
  <dimension ref="A1:N72"/>
  <sheetViews>
    <sheetView showGridLines="0" zoomScaleNormal="100" zoomScaleSheetLayoutView="100" workbookViewId="0">
      <selection activeCell="F5" sqref="F5"/>
    </sheetView>
  </sheetViews>
  <sheetFormatPr defaultColWidth="9" defaultRowHeight="17.399999999999999"/>
  <cols>
    <col min="1" max="1" width="2.69921875" style="10" customWidth="1"/>
    <col min="2" max="3" width="12.69921875" style="10" customWidth="1"/>
    <col min="4" max="4" width="15" style="10" customWidth="1"/>
    <col min="5" max="5" width="1.59765625" style="10" customWidth="1"/>
    <col min="6" max="6" width="12.19921875" style="10" bestFit="1" customWidth="1"/>
    <col min="7" max="7" width="1.59765625" style="10" customWidth="1"/>
    <col min="8" max="10" width="12.69921875" style="10" customWidth="1"/>
    <col min="11" max="11" width="12.69921875" style="2" customWidth="1"/>
    <col min="12" max="12" width="2.69921875" style="10" customWidth="1"/>
    <col min="13" max="16384" width="9" style="10"/>
  </cols>
  <sheetData>
    <row r="1" spans="1:14"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N1" s="14"/>
    </row>
    <row r="2" spans="1:14"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</row>
    <row r="3" spans="1:14" ht="20.399999999999999">
      <c r="A3" s="30" t="s">
        <v>0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N3" s="14"/>
    </row>
    <row r="4" spans="1:14"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</row>
    <row r="5" spans="1:14">
      <c r="A5" s="33" t="s">
        <v>45</v>
      </c>
      <c r="B5" s="33"/>
      <c r="C5" s="33"/>
      <c r="D5" s="33"/>
      <c r="E5" s="33"/>
      <c r="F5" s="19" t="s">
        <v>211</v>
      </c>
      <c r="G5" s="19"/>
      <c r="H5" s="21" t="s">
        <v>46</v>
      </c>
      <c r="I5" s="21"/>
      <c r="J5" s="21"/>
      <c r="K5" s="21"/>
      <c r="L5" s="21"/>
    </row>
    <row r="6" spans="1:14">
      <c r="A6" s="31" t="s">
        <v>150</v>
      </c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</row>
    <row r="7" spans="1:14"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</row>
    <row r="8" spans="1:14"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</row>
    <row r="9" spans="1:14">
      <c r="A9" s="31" t="s">
        <v>2</v>
      </c>
      <c r="B9" s="31"/>
      <c r="C9" s="31"/>
      <c r="D9" s="31"/>
      <c r="E9" s="31"/>
      <c r="F9" s="31"/>
      <c r="G9" s="31"/>
      <c r="H9" s="31"/>
      <c r="I9" s="31"/>
      <c r="J9" s="31"/>
      <c r="K9" s="31"/>
      <c r="L9" s="31"/>
    </row>
    <row r="10" spans="1:14"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</row>
    <row r="11" spans="1:14"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</row>
    <row r="12" spans="1:14">
      <c r="B12" s="6" t="s">
        <v>3</v>
      </c>
      <c r="C12" s="6"/>
      <c r="D12" s="6"/>
      <c r="E12" s="6"/>
      <c r="F12" s="6"/>
      <c r="G12" s="6"/>
      <c r="H12" s="6"/>
      <c r="I12" s="6"/>
      <c r="J12" s="6"/>
      <c r="K12" s="6"/>
      <c r="L12" s="6"/>
    </row>
    <row r="13" spans="1:14" s="3" customFormat="1">
      <c r="B13" s="12" t="s">
        <v>153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</row>
    <row r="14" spans="1:14" s="3" customFormat="1"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</row>
    <row r="15" spans="1:14">
      <c r="B15" s="6" t="s">
        <v>5</v>
      </c>
      <c r="C15" s="6"/>
      <c r="D15" s="6"/>
      <c r="E15" s="6"/>
      <c r="F15" s="6"/>
      <c r="G15" s="6"/>
      <c r="H15" s="6"/>
      <c r="I15" s="6"/>
      <c r="J15" s="6"/>
      <c r="K15" s="6"/>
      <c r="L15" s="6"/>
    </row>
    <row r="16" spans="1:14" s="3" customFormat="1">
      <c r="B16" s="12" t="s">
        <v>6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</row>
    <row r="17" spans="2:12" s="3" customFormat="1">
      <c r="B17" s="12" t="s">
        <v>7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</row>
    <row r="18" spans="2:12" s="3" customFormat="1">
      <c r="B18" s="12" t="s">
        <v>8</v>
      </c>
      <c r="C18" s="12"/>
      <c r="D18" s="12"/>
      <c r="E18" s="12"/>
      <c r="F18" s="12"/>
      <c r="G18" s="12"/>
      <c r="H18" s="12"/>
      <c r="I18" s="12"/>
      <c r="J18" s="12"/>
      <c r="K18" s="12"/>
      <c r="L18" s="12"/>
    </row>
    <row r="19" spans="2:12" s="3" customFormat="1"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</row>
    <row r="20" spans="2:12" s="2" customFormat="1">
      <c r="B20" s="6" t="s">
        <v>202</v>
      </c>
      <c r="C20" s="6"/>
      <c r="D20" s="6"/>
      <c r="E20" s="6"/>
      <c r="F20" s="6"/>
      <c r="G20" s="6"/>
      <c r="H20" s="6"/>
      <c r="I20" s="6"/>
      <c r="J20" s="6"/>
      <c r="K20" s="6"/>
      <c r="L20" s="6"/>
    </row>
    <row r="21" spans="2:12" s="27" customFormat="1">
      <c r="B21" s="28" t="s">
        <v>203</v>
      </c>
      <c r="C21" s="28"/>
      <c r="D21" s="28"/>
      <c r="E21" s="28"/>
      <c r="F21" s="28"/>
      <c r="G21" s="28"/>
      <c r="H21" s="28"/>
      <c r="I21" s="28"/>
      <c r="J21" s="28"/>
      <c r="K21" s="28"/>
      <c r="L21" s="28"/>
    </row>
    <row r="22" spans="2:12" s="27" customFormat="1">
      <c r="B22" s="28" t="s">
        <v>204</v>
      </c>
      <c r="C22" s="28"/>
      <c r="D22" s="28"/>
      <c r="E22" s="28"/>
      <c r="F22" s="28"/>
      <c r="G22" s="28"/>
      <c r="H22" s="28"/>
      <c r="I22" s="28"/>
      <c r="J22" s="28"/>
      <c r="K22" s="28"/>
      <c r="L22" s="28"/>
    </row>
    <row r="23" spans="2:12" s="27" customFormat="1">
      <c r="B23" s="28" t="s">
        <v>209</v>
      </c>
      <c r="C23" s="28"/>
      <c r="D23" s="28"/>
      <c r="E23" s="28"/>
      <c r="F23" s="28"/>
      <c r="G23" s="28"/>
      <c r="H23" s="28"/>
      <c r="I23" s="28"/>
      <c r="J23" s="28"/>
      <c r="K23" s="28"/>
      <c r="L23" s="28"/>
    </row>
    <row r="24" spans="2:12" s="27" customFormat="1">
      <c r="B24" s="28" t="s">
        <v>206</v>
      </c>
      <c r="C24" s="28"/>
      <c r="D24" s="28"/>
      <c r="E24" s="28"/>
      <c r="F24" s="28"/>
      <c r="G24" s="28"/>
      <c r="H24" s="28"/>
      <c r="I24" s="28"/>
      <c r="J24" s="28"/>
      <c r="K24" s="28"/>
      <c r="L24" s="28"/>
    </row>
    <row r="25" spans="2:12" s="27" customFormat="1">
      <c r="B25" s="28" t="s">
        <v>201</v>
      </c>
      <c r="C25" s="28"/>
      <c r="D25" s="28"/>
      <c r="E25" s="28"/>
      <c r="F25" s="28"/>
      <c r="G25" s="28"/>
      <c r="H25" s="28"/>
      <c r="I25" s="28"/>
      <c r="J25" s="28"/>
      <c r="K25" s="28"/>
      <c r="L25" s="28"/>
    </row>
    <row r="26" spans="2:12" s="27" customFormat="1">
      <c r="B26" s="28" t="s">
        <v>207</v>
      </c>
      <c r="C26" s="28"/>
      <c r="D26" s="28"/>
      <c r="E26" s="28"/>
      <c r="F26" s="28"/>
      <c r="G26" s="28"/>
      <c r="H26" s="28"/>
      <c r="I26" s="28"/>
      <c r="J26" s="28"/>
      <c r="K26" s="28"/>
      <c r="L26" s="28"/>
    </row>
    <row r="27" spans="2:12" s="27" customFormat="1">
      <c r="B27" s="28" t="s">
        <v>208</v>
      </c>
      <c r="C27" s="28"/>
      <c r="D27" s="28"/>
      <c r="E27" s="28"/>
      <c r="F27" s="28"/>
      <c r="G27" s="28"/>
      <c r="H27" s="28"/>
      <c r="I27" s="28"/>
      <c r="J27" s="28"/>
      <c r="K27" s="28"/>
      <c r="L27" s="28"/>
    </row>
    <row r="28" spans="2:12" s="27" customFormat="1"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</row>
    <row r="29" spans="2:12" ht="17.7" customHeight="1">
      <c r="B29" s="6" t="s">
        <v>12</v>
      </c>
      <c r="C29" s="11"/>
      <c r="D29" s="11"/>
      <c r="E29" s="11"/>
      <c r="F29" s="11"/>
      <c r="G29" s="11"/>
      <c r="H29" s="11"/>
      <c r="I29" s="11"/>
      <c r="J29" s="11"/>
      <c r="K29" s="11"/>
      <c r="L29" s="11"/>
    </row>
    <row r="30" spans="2:12" ht="17.7" customHeight="1">
      <c r="B30" s="12" t="s">
        <v>154</v>
      </c>
      <c r="C30" s="11"/>
      <c r="D30" s="11"/>
      <c r="E30" s="11"/>
      <c r="F30" s="11"/>
      <c r="G30" s="11"/>
      <c r="H30" s="11"/>
      <c r="I30" s="11"/>
      <c r="J30" s="11"/>
      <c r="K30" s="11"/>
      <c r="L30" s="11"/>
    </row>
    <row r="31" spans="2:12" ht="17.7" customHeight="1">
      <c r="B31" s="12" t="s">
        <v>155</v>
      </c>
      <c r="C31" s="11"/>
      <c r="D31" s="11"/>
      <c r="E31" s="11"/>
      <c r="F31" s="11"/>
      <c r="G31" s="11"/>
      <c r="H31" s="11"/>
      <c r="I31" s="11"/>
      <c r="J31" s="11"/>
      <c r="K31" s="11"/>
      <c r="L31" s="11"/>
    </row>
    <row r="32" spans="2:12" ht="17.7" customHeight="1">
      <c r="B32" s="12" t="s">
        <v>156</v>
      </c>
      <c r="C32" s="11"/>
      <c r="D32" s="11"/>
      <c r="E32" s="11"/>
      <c r="F32" s="11"/>
      <c r="G32" s="11"/>
      <c r="H32" s="11"/>
      <c r="I32" s="11"/>
      <c r="J32" s="11"/>
      <c r="K32" s="11"/>
      <c r="L32" s="11"/>
    </row>
    <row r="33" spans="2:12" ht="17.7" customHeight="1">
      <c r="B33" s="12" t="s">
        <v>157</v>
      </c>
      <c r="C33" s="11"/>
      <c r="D33" s="11"/>
      <c r="E33" s="11"/>
      <c r="F33" s="11"/>
      <c r="G33" s="11"/>
      <c r="H33" s="11"/>
      <c r="I33" s="11"/>
      <c r="J33" s="11"/>
      <c r="K33" s="11"/>
      <c r="L33" s="11"/>
    </row>
    <row r="34" spans="2:12" ht="17.7" customHeight="1">
      <c r="B34" s="12"/>
      <c r="C34" s="11"/>
      <c r="D34" s="11"/>
      <c r="E34" s="11"/>
      <c r="F34" s="11"/>
      <c r="G34" s="11"/>
      <c r="H34" s="11"/>
      <c r="I34" s="11"/>
      <c r="J34" s="11"/>
      <c r="K34" s="11"/>
      <c r="L34" s="11"/>
    </row>
    <row r="35" spans="2:12" ht="17.7" customHeight="1">
      <c r="B35" s="6" t="s">
        <v>16</v>
      </c>
      <c r="C35" s="11"/>
      <c r="D35" s="11"/>
      <c r="E35" s="11"/>
      <c r="F35" s="11"/>
      <c r="G35" s="11"/>
      <c r="H35" s="11"/>
      <c r="I35" s="11"/>
      <c r="J35" s="11"/>
      <c r="K35" s="11"/>
      <c r="L35" s="11"/>
    </row>
    <row r="36" spans="2:12" ht="17.7" customHeight="1">
      <c r="B36" s="12" t="s">
        <v>17</v>
      </c>
      <c r="C36" s="11"/>
      <c r="D36" s="11"/>
      <c r="E36" s="11"/>
      <c r="F36" s="11"/>
      <c r="G36" s="11"/>
      <c r="H36" s="11"/>
      <c r="I36" s="11"/>
      <c r="J36" s="11"/>
      <c r="K36" s="11"/>
      <c r="L36" s="11"/>
    </row>
    <row r="37" spans="2:12" ht="17.7" customHeight="1">
      <c r="B37" s="12" t="s">
        <v>18</v>
      </c>
      <c r="C37" s="11"/>
      <c r="D37" s="11"/>
      <c r="E37" s="11"/>
      <c r="F37" s="11"/>
      <c r="G37" s="11"/>
      <c r="H37" s="11"/>
      <c r="I37" s="11"/>
      <c r="J37" s="11"/>
      <c r="K37" s="11"/>
      <c r="L37" s="11"/>
    </row>
    <row r="38" spans="2:12" ht="17.7" customHeight="1">
      <c r="B38" s="12" t="s">
        <v>19</v>
      </c>
      <c r="C38" s="11"/>
      <c r="D38" s="11"/>
      <c r="E38" s="11"/>
      <c r="F38" s="11"/>
      <c r="G38" s="11"/>
      <c r="H38" s="11"/>
      <c r="I38" s="11"/>
      <c r="J38" s="11"/>
      <c r="K38" s="11"/>
      <c r="L38" s="11"/>
    </row>
    <row r="39" spans="2:12" ht="17.7" customHeight="1">
      <c r="B39" s="12" t="s">
        <v>20</v>
      </c>
      <c r="C39" s="11"/>
      <c r="D39" s="11"/>
      <c r="E39" s="11"/>
      <c r="F39" s="11"/>
      <c r="G39" s="11"/>
      <c r="H39" s="11"/>
      <c r="I39" s="11"/>
      <c r="J39" s="11"/>
      <c r="K39" s="11"/>
      <c r="L39" s="11"/>
    </row>
    <row r="40" spans="2:12" ht="17.7" customHeight="1">
      <c r="B40" s="12" t="s">
        <v>21</v>
      </c>
      <c r="C40" s="11"/>
      <c r="D40" s="11"/>
      <c r="E40" s="11"/>
      <c r="F40" s="11"/>
      <c r="G40" s="11"/>
      <c r="H40" s="11"/>
      <c r="I40" s="11"/>
      <c r="J40" s="11"/>
      <c r="K40" s="11"/>
      <c r="L40" s="11"/>
    </row>
    <row r="41" spans="2:12" ht="17.7" customHeight="1">
      <c r="B41" s="12" t="s">
        <v>22</v>
      </c>
      <c r="C41" s="11"/>
      <c r="D41" s="11"/>
      <c r="E41" s="11"/>
      <c r="F41" s="11"/>
      <c r="G41" s="11"/>
      <c r="H41" s="11"/>
      <c r="I41" s="11"/>
      <c r="J41" s="11"/>
      <c r="K41" s="11"/>
      <c r="L41" s="11"/>
    </row>
    <row r="42" spans="2:12" ht="17.7" customHeight="1">
      <c r="B42" s="12" t="s">
        <v>23</v>
      </c>
      <c r="C42" s="11"/>
      <c r="D42" s="11"/>
      <c r="E42" s="11"/>
      <c r="F42" s="11"/>
      <c r="G42" s="11"/>
      <c r="H42" s="11"/>
      <c r="I42" s="11"/>
      <c r="J42" s="11"/>
      <c r="K42" s="11"/>
      <c r="L42" s="11"/>
    </row>
    <row r="43" spans="2:12" ht="17.7" customHeight="1">
      <c r="B43" s="12" t="s">
        <v>24</v>
      </c>
      <c r="C43" s="11"/>
      <c r="D43" s="11"/>
      <c r="E43" s="11"/>
      <c r="F43" s="11"/>
      <c r="G43" s="11"/>
      <c r="H43" s="11"/>
      <c r="I43" s="11"/>
      <c r="J43" s="11"/>
      <c r="K43" s="11"/>
      <c r="L43" s="11"/>
    </row>
    <row r="44" spans="2:12" ht="17.7" customHeight="1">
      <c r="B44" s="8"/>
      <c r="C44" s="11"/>
      <c r="D44" s="11"/>
      <c r="E44" s="11"/>
      <c r="F44" s="11"/>
      <c r="G44" s="11"/>
      <c r="H44" s="11"/>
      <c r="I44" s="11"/>
      <c r="J44" s="11"/>
      <c r="K44" s="11"/>
      <c r="L44" s="11"/>
    </row>
    <row r="45" spans="2:12" ht="17.7" customHeight="1">
      <c r="B45" s="6" t="s">
        <v>25</v>
      </c>
      <c r="C45" s="11"/>
      <c r="D45" s="11"/>
      <c r="E45" s="11"/>
      <c r="F45" s="11"/>
      <c r="G45" s="11"/>
      <c r="H45" s="11"/>
      <c r="I45" s="11"/>
      <c r="J45" s="11"/>
      <c r="K45" s="11"/>
      <c r="L45" s="11"/>
    </row>
    <row r="46" spans="2:12" ht="17.7" customHeight="1">
      <c r="B46" s="12" t="s">
        <v>26</v>
      </c>
      <c r="C46" s="11"/>
      <c r="D46" s="11"/>
      <c r="E46" s="11"/>
      <c r="F46" s="11"/>
      <c r="G46" s="11"/>
      <c r="H46" s="11"/>
      <c r="I46" s="11"/>
      <c r="J46" s="11"/>
      <c r="K46" s="11"/>
      <c r="L46" s="11"/>
    </row>
    <row r="47" spans="2:12" ht="17.7" customHeight="1">
      <c r="B47" s="12" t="s">
        <v>27</v>
      </c>
      <c r="C47" s="11"/>
      <c r="D47" s="11"/>
      <c r="E47" s="11"/>
      <c r="F47" s="11"/>
      <c r="G47" s="11"/>
      <c r="H47" s="11"/>
      <c r="I47" s="11"/>
      <c r="J47" s="11"/>
      <c r="K47" s="11"/>
      <c r="L47" s="11"/>
    </row>
    <row r="48" spans="2:12" ht="17.7" customHeight="1">
      <c r="B48" s="12" t="s">
        <v>28</v>
      </c>
      <c r="C48" s="11"/>
      <c r="D48" s="11"/>
      <c r="E48" s="11"/>
      <c r="F48" s="11"/>
      <c r="G48" s="11"/>
      <c r="H48" s="11"/>
      <c r="I48" s="11"/>
      <c r="J48" s="11"/>
      <c r="K48" s="11"/>
      <c r="L48" s="11"/>
    </row>
    <row r="49" spans="2:12" ht="17.7" customHeight="1">
      <c r="B49" s="12" t="s">
        <v>29</v>
      </c>
      <c r="C49" s="11"/>
      <c r="D49" s="11"/>
      <c r="E49" s="11"/>
      <c r="F49" s="11"/>
      <c r="G49" s="11"/>
      <c r="H49" s="11"/>
      <c r="I49" s="11"/>
      <c r="J49" s="11"/>
      <c r="K49" s="11"/>
      <c r="L49" s="11"/>
    </row>
    <row r="50" spans="2:12" ht="17.7" customHeight="1">
      <c r="B50" s="12" t="s">
        <v>30</v>
      </c>
      <c r="C50" s="11"/>
      <c r="D50" s="11"/>
      <c r="E50" s="11"/>
      <c r="F50" s="11"/>
      <c r="G50" s="11"/>
      <c r="H50" s="11"/>
      <c r="I50" s="11"/>
      <c r="J50" s="11"/>
      <c r="K50" s="11"/>
      <c r="L50" s="11"/>
    </row>
    <row r="51" spans="2:12" ht="17.7" customHeight="1">
      <c r="B51" s="12" t="s">
        <v>31</v>
      </c>
      <c r="C51" s="11"/>
      <c r="D51" s="11"/>
      <c r="E51" s="11"/>
      <c r="F51" s="11"/>
      <c r="G51" s="11"/>
      <c r="H51" s="11"/>
      <c r="I51" s="11"/>
      <c r="J51" s="11"/>
      <c r="K51" s="11"/>
      <c r="L51" s="11"/>
    </row>
    <row r="52" spans="2:12" ht="17.7" customHeight="1">
      <c r="B52" s="8"/>
      <c r="C52" s="11"/>
      <c r="D52" s="11"/>
      <c r="E52" s="11"/>
      <c r="F52" s="11"/>
      <c r="G52" s="11"/>
      <c r="H52" s="11"/>
      <c r="I52" s="11"/>
      <c r="J52" s="11"/>
      <c r="K52" s="11"/>
      <c r="L52" s="11"/>
    </row>
    <row r="53" spans="2:12" s="2" customFormat="1" ht="17.7" customHeight="1">
      <c r="B53" s="8"/>
      <c r="C53" s="11"/>
      <c r="D53" s="11"/>
      <c r="E53" s="11"/>
      <c r="F53" s="11"/>
      <c r="G53" s="11"/>
      <c r="H53" s="11"/>
      <c r="I53" s="11"/>
      <c r="J53" s="11"/>
      <c r="K53" s="11"/>
      <c r="L53" s="1"/>
    </row>
    <row r="54" spans="2:12">
      <c r="D54" s="9"/>
      <c r="E54" s="9"/>
      <c r="F54" s="9"/>
      <c r="G54" s="9"/>
      <c r="H54" s="32">
        <v>46037</v>
      </c>
      <c r="I54" s="32"/>
      <c r="J54" s="32"/>
      <c r="K54" s="9"/>
      <c r="L54" s="11"/>
    </row>
    <row r="55" spans="2:12" ht="17.7" customHeight="1">
      <c r="B55" s="8"/>
      <c r="C55" s="11"/>
      <c r="D55" s="11"/>
      <c r="E55" s="11"/>
      <c r="F55" s="11"/>
      <c r="G55" s="11"/>
      <c r="H55" s="11"/>
      <c r="I55" s="11"/>
      <c r="J55" s="11"/>
      <c r="K55" s="11"/>
      <c r="L55" s="11"/>
    </row>
    <row r="56" spans="2:12" ht="17.7" customHeight="1">
      <c r="B56" s="8"/>
      <c r="C56" s="11"/>
      <c r="D56" s="11"/>
      <c r="E56" s="11"/>
      <c r="F56" s="11"/>
      <c r="G56" s="11"/>
      <c r="H56" s="11"/>
      <c r="I56" s="11"/>
      <c r="J56" s="11"/>
      <c r="K56" s="11"/>
      <c r="L56" s="11"/>
    </row>
    <row r="57" spans="2:12" ht="17.7" customHeight="1">
      <c r="B57" s="20" t="s">
        <v>32</v>
      </c>
      <c r="C57" s="20" t="s">
        <v>33</v>
      </c>
      <c r="D57" s="5" t="s">
        <v>143</v>
      </c>
      <c r="E57" s="20" t="s">
        <v>141</v>
      </c>
      <c r="F57" s="20" t="s">
        <v>144</v>
      </c>
      <c r="G57" s="20" t="s">
        <v>142</v>
      </c>
      <c r="H57" s="5"/>
      <c r="I57" s="5"/>
      <c r="J57" s="13"/>
      <c r="K57" s="13"/>
      <c r="L57" s="11"/>
    </row>
    <row r="58" spans="2:12" ht="17.7" customHeight="1">
      <c r="B58" s="20"/>
      <c r="C58" s="20" t="s">
        <v>35</v>
      </c>
      <c r="D58" s="5" t="s">
        <v>36</v>
      </c>
      <c r="E58" s="5"/>
      <c r="F58" s="5"/>
      <c r="G58" s="5"/>
      <c r="H58" s="5"/>
      <c r="I58" s="5"/>
      <c r="J58" s="13"/>
      <c r="K58" s="13"/>
      <c r="L58" s="11"/>
    </row>
    <row r="59" spans="2:12" ht="17.7" customHeight="1">
      <c r="B59" s="20"/>
      <c r="C59" s="20" t="s">
        <v>37</v>
      </c>
      <c r="D59" s="5" t="s">
        <v>38</v>
      </c>
      <c r="E59" s="5"/>
      <c r="F59" s="5"/>
      <c r="G59" s="5"/>
      <c r="H59" s="5"/>
      <c r="I59" s="5"/>
      <c r="J59" s="20" t="s">
        <v>39</v>
      </c>
      <c r="K59" s="10"/>
      <c r="L59" s="11"/>
    </row>
    <row r="60" spans="2:12" ht="17.7" customHeight="1"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11"/>
    </row>
    <row r="61" spans="2:12" ht="17.7" customHeight="1"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11"/>
    </row>
    <row r="62" spans="2:12" ht="17.7" customHeight="1">
      <c r="B62" s="20" t="s">
        <v>40</v>
      </c>
      <c r="C62" s="20" t="s">
        <v>33</v>
      </c>
      <c r="D62" s="17" t="e">
        <f>VLOOKUP(F5,계약체결용!$B$2:$K$65,7,FALSE)</f>
        <v>#N/A</v>
      </c>
      <c r="E62" s="20" t="s">
        <v>141</v>
      </c>
      <c r="F62" s="20" t="e">
        <f>VLOOKUP(F5,계약체결용!$B$2:$K$65,8,FALSE)</f>
        <v>#N/A</v>
      </c>
      <c r="G62" s="20" t="s">
        <v>142</v>
      </c>
      <c r="H62" s="5"/>
      <c r="I62" s="5"/>
      <c r="J62" s="7"/>
      <c r="K62" s="7"/>
      <c r="L62" s="11"/>
    </row>
    <row r="63" spans="2:12" ht="17.7" customHeight="1">
      <c r="B63" s="20"/>
      <c r="C63" s="20" t="s">
        <v>35</v>
      </c>
      <c r="D63" s="5" t="e">
        <f>VLOOKUP(F5,계약체결용!$B$2:$K$65,10,FALSE)</f>
        <v>#N/A</v>
      </c>
      <c r="E63" s="5"/>
      <c r="F63" s="5"/>
      <c r="G63" s="5"/>
      <c r="H63" s="5"/>
      <c r="I63" s="5"/>
      <c r="J63" s="7"/>
      <c r="K63" s="7"/>
      <c r="L63" s="11"/>
    </row>
    <row r="64" spans="2:12" ht="17.7" customHeight="1">
      <c r="B64" s="20"/>
      <c r="C64" s="20" t="s">
        <v>37</v>
      </c>
      <c r="D64" s="5" t="e">
        <f>VLOOKUP(F5,계약체결용!$B$2:$K$65,9,FALSE)</f>
        <v>#N/A</v>
      </c>
      <c r="E64" s="5"/>
      <c r="F64" s="5"/>
      <c r="G64" s="5"/>
      <c r="H64" s="5"/>
      <c r="I64" s="5"/>
      <c r="J64" s="20" t="s">
        <v>39</v>
      </c>
      <c r="K64" s="10"/>
      <c r="L64" s="8"/>
    </row>
    <row r="65" spans="2:12" ht="17.7" customHeight="1">
      <c r="B65" s="20"/>
      <c r="C65" s="20"/>
      <c r="D65" s="20"/>
      <c r="E65" s="20"/>
      <c r="F65" s="20"/>
      <c r="G65" s="20"/>
      <c r="H65" s="4"/>
      <c r="I65" s="4"/>
      <c r="J65" s="4"/>
      <c r="K65" s="20"/>
      <c r="L65" s="8"/>
    </row>
    <row r="66" spans="2:12" ht="17.7" customHeight="1">
      <c r="B66" s="20"/>
      <c r="C66" s="20"/>
      <c r="D66" s="20"/>
      <c r="E66" s="20"/>
      <c r="F66" s="4"/>
      <c r="G66" s="4"/>
      <c r="H66" s="4"/>
      <c r="I66" s="4"/>
      <c r="J66" s="4"/>
      <c r="K66" s="4"/>
    </row>
    <row r="67" spans="2:12" s="15" customFormat="1" ht="17.7" customHeight="1">
      <c r="K67" s="16"/>
    </row>
    <row r="68" spans="2:12" s="15" customFormat="1" ht="17.7" customHeight="1">
      <c r="K68" s="16"/>
    </row>
    <row r="69" spans="2:12" s="15" customFormat="1" ht="17.7" customHeight="1">
      <c r="K69" s="16"/>
    </row>
    <row r="70" spans="2:12" s="15" customFormat="1" ht="17.7" customHeight="1">
      <c r="K70" s="16"/>
    </row>
    <row r="71" spans="2:12" s="15" customFormat="1" ht="17.7" customHeight="1">
      <c r="K71" s="16"/>
    </row>
    <row r="72" spans="2:12" ht="17.7" customHeight="1"/>
  </sheetData>
  <mergeCells count="5">
    <mergeCell ref="A3:L3"/>
    <mergeCell ref="A5:E5"/>
    <mergeCell ref="A6:L6"/>
    <mergeCell ref="A9:L9"/>
    <mergeCell ref="H54:J54"/>
  </mergeCells>
  <phoneticPr fontId="2" type="noConversion"/>
  <dataValidations count="2">
    <dataValidation type="list" allowBlank="1" showInputMessage="1" showErrorMessage="1" sqref="F5" xr:uid="{A8E1B2AB-825F-4426-8D34-A6D7AF8B0BB9}">
      <formula1>"NC대전유성,롯데몰여수(팝업),롯데광복2,롯데동탄2,롯데미아,롯데안산(팝업),롯데영등포,롯데청량리, 롯데구리,롯데의왕"</formula1>
    </dataValidation>
    <dataValidation type="list" allowBlank="1" showInputMessage="1" showErrorMessage="1" sqref="G5" xr:uid="{56127CA7-6DC2-4708-9BBD-E9CA3F5FA63A}">
      <formula1>"강릉4, 거제4, 경주4, 구리남양주2, 구미5, 김포5, 김해2, 달서5, 덕진2, 마산6, 봉선5, 부천3, 분당2, 빛고을2, 서대전3, 서산3, 세종2, 수성5, 순천4, 안동5, 안산상록수2, 양산3, 연제4, 원주3, 의정부8, 인천중앙2, 일산킨텍스, 전군2, 중화산4, 진주2, 창원3, 천안불당3, 청남3, 청주6, 청주중앙4, 춘천3, 태릉묵동6, 평택4, 포항2, 포항중앙2, 하단3"</formula1>
    </dataValidation>
  </dataValidations>
  <printOptions horizontalCentered="1" verticalCentered="1"/>
  <pageMargins left="0" right="0" top="0.74803149606299213" bottom="0.74803149606299213" header="0.31496062992125984" footer="0.31496062992125984"/>
  <pageSetup paperSize="9" scale="65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56876-6E55-4103-9D71-C0491E0246F4}">
  <dimension ref="A2:M68"/>
  <sheetViews>
    <sheetView tabSelected="1" workbookViewId="0">
      <pane xSplit="2" ySplit="2" topLeftCell="C53" activePane="bottomRight" state="frozen"/>
      <selection pane="topRight" activeCell="C1" sqref="C1"/>
      <selection pane="bottomLeft" activeCell="A3" sqref="A3"/>
      <selection pane="bottomRight" activeCell="M73" sqref="M73"/>
    </sheetView>
  </sheetViews>
  <sheetFormatPr defaultColWidth="8.69921875" defaultRowHeight="13.2"/>
  <cols>
    <col min="1" max="1" width="1.5" style="24" customWidth="1"/>
    <col min="2" max="2" width="17.09765625" style="24" bestFit="1" customWidth="1"/>
    <col min="3" max="3" width="16.19921875" style="24" hidden="1" customWidth="1"/>
    <col min="4" max="4" width="16.69921875" style="24" hidden="1" customWidth="1"/>
    <col min="5" max="5" width="7.19921875" style="24" hidden="1" customWidth="1"/>
    <col min="6" max="6" width="9.69921875" style="24" hidden="1" customWidth="1"/>
    <col min="7" max="7" width="19" style="24" hidden="1" customWidth="1"/>
    <col min="8" max="8" width="20" style="24" hidden="1" customWidth="1"/>
    <col min="9" max="9" width="12.8984375" style="24" bestFit="1" customWidth="1"/>
    <col min="10" max="10" width="16.8984375" style="24" hidden="1" customWidth="1"/>
    <col min="11" max="11" width="56" style="24" hidden="1" customWidth="1"/>
    <col min="12" max="12" width="13" style="22" hidden="1" customWidth="1"/>
    <col min="13" max="13" width="19.296875" style="22" customWidth="1"/>
    <col min="14" max="16384" width="8.69921875" style="22"/>
  </cols>
  <sheetData>
    <row r="2" spans="2:13">
      <c r="B2" s="25" t="s">
        <v>47</v>
      </c>
      <c r="C2" s="25" t="s">
        <v>48</v>
      </c>
      <c r="D2" s="25" t="s">
        <v>49</v>
      </c>
      <c r="E2" s="25"/>
      <c r="F2" s="25"/>
      <c r="G2" s="25" t="s">
        <v>50</v>
      </c>
      <c r="H2" s="25" t="s">
        <v>51</v>
      </c>
      <c r="I2" s="25" t="s">
        <v>52</v>
      </c>
      <c r="J2" s="25" t="s">
        <v>53</v>
      </c>
      <c r="K2" s="25" t="s">
        <v>54</v>
      </c>
    </row>
    <row r="3" spans="2:13" ht="17.399999999999999">
      <c r="B3" s="26" t="s">
        <v>55</v>
      </c>
      <c r="C3" s="26" t="str">
        <f>VLOOKUP(B3,'[1]2503기준유통망'!$B:$E,4,0)</f>
        <v>B/S-Shop</v>
      </c>
      <c r="D3" s="26" t="s">
        <v>56</v>
      </c>
      <c r="E3" s="26" t="s">
        <v>57</v>
      </c>
      <c r="F3" s="26" t="s">
        <v>58</v>
      </c>
      <c r="G3" s="26" t="str">
        <f t="shared" ref="G3:G60" si="0">E3&amp;" (\"&amp;F3&amp;")"</f>
        <v>이천만원 (\20,000,000원)</v>
      </c>
      <c r="H3" s="26" t="str">
        <f>VLOOKUP(B3,[1]계약체결용!$B:$K,7,0)</f>
        <v>일룸강릉브랜드샵(주)</v>
      </c>
      <c r="I3" s="26" t="str">
        <f>VLOOKUP(B3,[1]계약체결용!$B:$K,8,0)</f>
        <v>201-86-45638</v>
      </c>
      <c r="J3" s="26" t="str">
        <f>VLOOKUP(B3,[1]계약체결용!$B:$K,9,0)</f>
        <v>최 종 섭</v>
      </c>
      <c r="K3" s="26" t="str">
        <f>VLOOKUP(B3,[1]계약체결용!$B:$K,10,0)</f>
        <v>강원 강릉시 율곡로 3190</v>
      </c>
      <c r="L3" s="29" t="s">
        <v>212</v>
      </c>
      <c r="M3" s="22" t="str">
        <f>VLOOKUP(L3,'[2]25년계약체결용'!$I$2:$O$72,7,0)</f>
        <v>gniloom@daum.net</v>
      </c>
    </row>
    <row r="4" spans="2:13" ht="17.399999999999999">
      <c r="B4" s="26" t="s">
        <v>59</v>
      </c>
      <c r="C4" s="26" t="str">
        <f>VLOOKUP(B4,'[1]2503기준유통망'!$B:$E,4,0)</f>
        <v>B/S-Shop</v>
      </c>
      <c r="D4" s="26" t="s">
        <v>56</v>
      </c>
      <c r="E4" s="26" t="s">
        <v>57</v>
      </c>
      <c r="F4" s="26" t="s">
        <v>58</v>
      </c>
      <c r="G4" s="26" t="str">
        <f t="shared" si="0"/>
        <v>이천만원 (\20,000,000원)</v>
      </c>
      <c r="H4" s="26" t="s">
        <v>60</v>
      </c>
      <c r="I4" s="26" t="s">
        <v>61</v>
      </c>
      <c r="J4" s="26" t="s">
        <v>62</v>
      </c>
      <c r="K4" s="26" t="s">
        <v>63</v>
      </c>
      <c r="L4" s="29" t="s">
        <v>237</v>
      </c>
      <c r="M4" s="22" t="s">
        <v>266</v>
      </c>
    </row>
    <row r="5" spans="2:13" ht="17.399999999999999">
      <c r="B5" s="26" t="s">
        <v>64</v>
      </c>
      <c r="C5" s="26" t="str">
        <f>VLOOKUP(B5,'[1]2503기준유통망'!$B:$E,4,0)</f>
        <v>B/S-Shop</v>
      </c>
      <c r="D5" s="26" t="s">
        <v>56</v>
      </c>
      <c r="E5" s="26" t="s">
        <v>57</v>
      </c>
      <c r="F5" s="26" t="s">
        <v>58</v>
      </c>
      <c r="G5" s="26" t="str">
        <f t="shared" si="0"/>
        <v>이천만원 (\20,000,000원)</v>
      </c>
      <c r="H5" s="26" t="str">
        <f>VLOOKUP(B5,[1]계약체결용!$B:$K,7,0)</f>
        <v>그린퍼니처</v>
      </c>
      <c r="I5" s="26" t="str">
        <f>VLOOKUP(B5,[1]계약체결용!$B:$K,8,0)</f>
        <v>505-09-65796</v>
      </c>
      <c r="J5" s="26" t="str">
        <f>VLOOKUP(B5,[1]계약체결용!$B:$K,9,0)</f>
        <v>신 도 철</v>
      </c>
      <c r="K5" s="26" t="str">
        <f>VLOOKUP(B5,[1]계약체결용!$B:$K,10,0)</f>
        <v>경북 경주시 원화로468, b동</v>
      </c>
      <c r="L5" s="29" t="s">
        <v>213</v>
      </c>
      <c r="M5" s="22" t="str">
        <f>VLOOKUP(L5,'[2]25년계약체결용'!$I$2:$O$72,7,0)</f>
        <v>ch9000@hanmail.net</v>
      </c>
    </row>
    <row r="6" spans="2:13" ht="17.399999999999999">
      <c r="B6" s="26" t="s">
        <v>65</v>
      </c>
      <c r="C6" s="26" t="str">
        <f>VLOOKUP(B6,'[1]2503기준유통망'!$B:$E,4,0)</f>
        <v>B/S-Shop</v>
      </c>
      <c r="D6" s="26" t="s">
        <v>56</v>
      </c>
      <c r="E6" s="26" t="s">
        <v>57</v>
      </c>
      <c r="F6" s="26" t="s">
        <v>58</v>
      </c>
      <c r="G6" s="26" t="str">
        <f t="shared" si="0"/>
        <v>이천만원 (\20,000,000원)</v>
      </c>
      <c r="H6" s="26" t="str">
        <f>VLOOKUP(B6,[1]계약체결용!$B:$K,7,0)</f>
        <v>일룸 가구 구미점</v>
      </c>
      <c r="I6" s="26" t="str">
        <f>VLOOKUP(B6,[1]계약체결용!$B:$K,8,0)</f>
        <v>283-05-01540</v>
      </c>
      <c r="J6" s="26" t="str">
        <f>VLOOKUP(B6,[1]계약체결용!$B:$K,9,0)</f>
        <v>김관우, 김동윤, 박정애</v>
      </c>
      <c r="K6" s="26" t="str">
        <f>VLOOKUP(B6,[1]계약체결용!$B:$K,10,0)</f>
        <v>경북 구미시 산업로28길 4</v>
      </c>
      <c r="L6" s="29" t="s">
        <v>238</v>
      </c>
      <c r="M6" s="22" t="str">
        <f>VLOOKUP(L6,'[2]25년계약체결용'!$I$2:$O$72,7,0)</f>
        <v>ktongyun@hanmail.net</v>
      </c>
    </row>
    <row r="7" spans="2:13" ht="17.399999999999999">
      <c r="B7" s="26" t="s">
        <v>66</v>
      </c>
      <c r="C7" s="26" t="str">
        <f>VLOOKUP(B7,'[1]2503기준유통망'!$B:$E,4,0)</f>
        <v>B/S-Shop</v>
      </c>
      <c r="D7" s="26" t="s">
        <v>56</v>
      </c>
      <c r="E7" s="26" t="s">
        <v>57</v>
      </c>
      <c r="F7" s="26" t="s">
        <v>58</v>
      </c>
      <c r="G7" s="26" t="str">
        <f t="shared" si="0"/>
        <v>이천만원 (\20,000,000원)</v>
      </c>
      <c r="H7" s="26" t="str">
        <f>VLOOKUP(B7,[1]계약체결용!$B:$K,7,0)</f>
        <v>일룸김포점</v>
      </c>
      <c r="I7" s="26" t="str">
        <f>VLOOKUP(B7,[1]계약체결용!$B:$K,8,0)</f>
        <v>137-17-39033</v>
      </c>
      <c r="J7" s="26" t="str">
        <f>VLOOKUP(B7,[1]계약체결용!$B:$K,9,0)</f>
        <v>장 미 영</v>
      </c>
      <c r="K7" s="26" t="str">
        <f>VLOOKUP(B7,[1]계약체결용!$B:$K,10,0)</f>
        <v>경기 김포시 풍무동 27-4 1,2층</v>
      </c>
      <c r="L7" s="29" t="s">
        <v>214</v>
      </c>
      <c r="M7" s="22" t="str">
        <f>VLOOKUP(L7,'[2]25년계약체결용'!$I$2:$O$72,7,0)</f>
        <v>kanges232@naver.com</v>
      </c>
    </row>
    <row r="8" spans="2:13" ht="17.399999999999999">
      <c r="B8" s="26" t="s">
        <v>67</v>
      </c>
      <c r="C8" s="26" t="str">
        <f>VLOOKUP(B8,'[1]2503기준유통망'!$B:$E,4,0)</f>
        <v>B/S-Shop</v>
      </c>
      <c r="D8" s="26" t="s">
        <v>56</v>
      </c>
      <c r="E8" s="26" t="s">
        <v>57</v>
      </c>
      <c r="F8" s="26" t="s">
        <v>58</v>
      </c>
      <c r="G8" s="26" t="str">
        <f t="shared" si="0"/>
        <v>이천만원 (\20,000,000원)</v>
      </c>
      <c r="H8" s="26" t="str">
        <f>VLOOKUP(B8,[1]계약체결용!$B:$K,7,0)</f>
        <v>일룸 김해브랜드샵</v>
      </c>
      <c r="I8" s="26" t="str">
        <f>VLOOKUP(B8,[1]계약체결용!$B:$K,8,0)</f>
        <v>615-17-27736</v>
      </c>
      <c r="J8" s="26" t="str">
        <f>VLOOKUP(B8,[1]계약체결용!$B:$K,9,0)</f>
        <v>박 효 정</v>
      </c>
      <c r="K8" s="26" t="str">
        <f>VLOOKUP(B8,[1]계약체결용!$B:$K,10,0)</f>
        <v>경남 김해시 풍유동 47-3</v>
      </c>
      <c r="L8" s="29" t="s">
        <v>239</v>
      </c>
      <c r="M8" s="22" t="str">
        <f>VLOOKUP(L8,'[2]25년계약체결용'!$I$2:$O$72,7,0)</f>
        <v>iloomju@naver.com</v>
      </c>
    </row>
    <row r="9" spans="2:13" ht="17.399999999999999">
      <c r="B9" s="26" t="s">
        <v>68</v>
      </c>
      <c r="C9" s="26" t="str">
        <f>VLOOKUP(B9,'[1]2503기준유통망'!$B:$E,4,0)</f>
        <v>B/S-Shop</v>
      </c>
      <c r="D9" s="26" t="s">
        <v>56</v>
      </c>
      <c r="E9" s="26" t="s">
        <v>57</v>
      </c>
      <c r="F9" s="26" t="s">
        <v>58</v>
      </c>
      <c r="G9" s="26" t="str">
        <f t="shared" si="0"/>
        <v>이천만원 (\20,000,000원)</v>
      </c>
      <c r="H9" s="26" t="str">
        <f>VLOOKUP(B9,[1]계약체결용!$B:$K,7,0)</f>
        <v>일룸달서프리미엄샵</v>
      </c>
      <c r="I9" s="26" t="str">
        <f>VLOOKUP(B9,[1]계약체결용!$B:$K,8,0)</f>
        <v>514-19-58959</v>
      </c>
      <c r="J9" s="26" t="str">
        <f>VLOOKUP(B9,[1]계약체결용!$B:$K,9,0)</f>
        <v>서 미 경</v>
      </c>
      <c r="K9" s="26" t="str">
        <f>VLOOKUP(B9,[1]계약체결용!$B:$K,10,0)</f>
        <v>대구 달서구 조암로 200(유천동)</v>
      </c>
      <c r="L9" s="29" t="s">
        <v>215</v>
      </c>
      <c r="M9" s="22" t="s">
        <v>267</v>
      </c>
    </row>
    <row r="10" spans="2:13" ht="17.399999999999999">
      <c r="B10" s="26" t="s">
        <v>69</v>
      </c>
      <c r="C10" s="26" t="str">
        <f>VLOOKUP(B10,'[1]2503기준유통망'!$B:$E,4,0)</f>
        <v>B/S-Shop</v>
      </c>
      <c r="D10" s="26" t="s">
        <v>56</v>
      </c>
      <c r="E10" s="26" t="s">
        <v>57</v>
      </c>
      <c r="F10" s="26" t="s">
        <v>58</v>
      </c>
      <c r="G10" s="26" t="str">
        <f t="shared" si="0"/>
        <v>이천만원 (\20,000,000원)</v>
      </c>
      <c r="H10" s="26" t="str">
        <f>VLOOKUP(B10,[1]계약체결용!$B:$K,7,0)</f>
        <v>일룸 덕진점</v>
      </c>
      <c r="I10" s="26" t="str">
        <f>VLOOKUP(B10,[1]계약체결용!$B:$K,8,0)</f>
        <v>418-06-94448</v>
      </c>
      <c r="J10" s="26" t="str">
        <f>VLOOKUP(B10,[1]계약체결용!$B:$K,9,0)</f>
        <v>유 수 정</v>
      </c>
      <c r="K10" s="26" t="str">
        <f>VLOOKUP(B10,[1]계약체결용!$B:$K,10,0)</f>
        <v>전북 전주시 덕진구 송천중앙로 6</v>
      </c>
      <c r="L10" s="29" t="s">
        <v>240</v>
      </c>
      <c r="M10" s="22" t="s">
        <v>268</v>
      </c>
    </row>
    <row r="11" spans="2:13" ht="17.399999999999999">
      <c r="B11" s="26" t="s">
        <v>70</v>
      </c>
      <c r="C11" s="26" t="str">
        <f>VLOOKUP(B11,'[1]2503기준유통망'!$B:$E,4,0)</f>
        <v>B/S-Shop</v>
      </c>
      <c r="D11" s="26" t="s">
        <v>56</v>
      </c>
      <c r="E11" s="26" t="s">
        <v>57</v>
      </c>
      <c r="F11" s="26" t="s">
        <v>58</v>
      </c>
      <c r="G11" s="26" t="str">
        <f t="shared" si="0"/>
        <v>이천만원 (\20,000,000원)</v>
      </c>
      <c r="H11" s="26" t="str">
        <f>VLOOKUP(B11,[1]계약체결용!$B:$K,7,0)</f>
        <v>퍼시스스마트OPC(극동)</v>
      </c>
      <c r="I11" s="26" t="str">
        <f>VLOOKUP(B11,[1]계약체결용!$B:$K,8,0)</f>
        <v>608-47-60393</v>
      </c>
      <c r="J11" s="26" t="str">
        <f>VLOOKUP(B11,[1]계약체결용!$B:$K,9,0)</f>
        <v>강 호 근</v>
      </c>
      <c r="K11" s="26" t="str">
        <f>VLOOKUP(B11,[1]계약체결용!$B:$K,10,0)</f>
        <v>경남 창원시 마산회원구 봉양로 187(봉암동)</v>
      </c>
      <c r="L11" s="29" t="s">
        <v>216</v>
      </c>
      <c r="M11" s="22" t="s">
        <v>269</v>
      </c>
    </row>
    <row r="12" spans="2:13" ht="17.399999999999999">
      <c r="B12" s="26" t="s">
        <v>71</v>
      </c>
      <c r="C12" s="26" t="str">
        <f>VLOOKUP(B12,'[1]2503기준유통망'!$B:$E,4,0)</f>
        <v>B/S-Shop</v>
      </c>
      <c r="D12" s="26" t="s">
        <v>56</v>
      </c>
      <c r="E12" s="26" t="s">
        <v>57</v>
      </c>
      <c r="F12" s="26" t="s">
        <v>58</v>
      </c>
      <c r="G12" s="26" t="str">
        <f t="shared" si="0"/>
        <v>이천만원 (\20,000,000원)</v>
      </c>
      <c r="H12" s="26" t="str">
        <f>VLOOKUP(B12,[1]계약체결용!$B:$K,7,0)</f>
        <v>주식회사 일룸앤데스커</v>
      </c>
      <c r="I12" s="26" t="str">
        <f>VLOOKUP(B12,[1]계약체결용!$B:$K,8,0)</f>
        <v>408-88-02821</v>
      </c>
      <c r="J12" s="26" t="str">
        <f>VLOOKUP(B12,[1]계약체결용!$B:$K,9,0)</f>
        <v>조 평 호</v>
      </c>
      <c r="K12" s="26" t="str">
        <f>VLOOKUP(B12,[1]계약체결용!$B:$K,10,0)</f>
        <v>광주광역시 남구 봉선로 16 (주월동) 1층</v>
      </c>
      <c r="L12" s="29" t="s">
        <v>232</v>
      </c>
      <c r="M12" s="22" t="s">
        <v>270</v>
      </c>
    </row>
    <row r="13" spans="2:13" ht="17.399999999999999">
      <c r="B13" s="26" t="s">
        <v>72</v>
      </c>
      <c r="C13" s="26" t="str">
        <f>VLOOKUP(B13,'[1]2503기준유통망'!$B:$E,4,0)</f>
        <v>B/S-Shop</v>
      </c>
      <c r="D13" s="26" t="s">
        <v>56</v>
      </c>
      <c r="E13" s="26" t="s">
        <v>57</v>
      </c>
      <c r="F13" s="26" t="s">
        <v>58</v>
      </c>
      <c r="G13" s="26" t="str">
        <f t="shared" si="0"/>
        <v>이천만원 (\20,000,000원)</v>
      </c>
      <c r="H13" s="26" t="str">
        <f>VLOOKUP(B13,[1]계약체결용!$B:$K,7,0)</f>
        <v>일룸 부천점</v>
      </c>
      <c r="I13" s="26" t="str">
        <f>VLOOKUP(B13,[1]계약체결용!$B:$K,8,0)</f>
        <v>313-36-00088</v>
      </c>
      <c r="J13" s="26" t="str">
        <f>VLOOKUP(B13,[1]계약체결용!$B:$K,9,0)</f>
        <v>최 민 영</v>
      </c>
      <c r="K13" s="26" t="str">
        <f>VLOOKUP(B13,[1]계약체결용!$B:$K,10,0)</f>
        <v>경기 부천시 길주로 462</v>
      </c>
      <c r="L13" s="29" t="s">
        <v>217</v>
      </c>
      <c r="M13" s="22" t="str">
        <f>VLOOKUP(L13,'[2]25년계약체결용'!$I$2:$O$72,7,0)</f>
        <v>iloombc@naver.com</v>
      </c>
    </row>
    <row r="14" spans="2:13" ht="17.399999999999999">
      <c r="B14" s="26" t="s">
        <v>73</v>
      </c>
      <c r="C14" s="26" t="str">
        <f>VLOOKUP(B14,'[1]2503기준유통망'!$B:$E,4,0)</f>
        <v>B/S-Shop</v>
      </c>
      <c r="D14" s="26" t="s">
        <v>56</v>
      </c>
      <c r="E14" s="26" t="s">
        <v>57</v>
      </c>
      <c r="F14" s="26" t="s">
        <v>58</v>
      </c>
      <c r="G14" s="26" t="str">
        <f t="shared" si="0"/>
        <v>이천만원 (\20,000,000원)</v>
      </c>
      <c r="H14" s="26" t="str">
        <f>VLOOKUP(B14,[1]계약체결용!$B:$K,7,0)</f>
        <v>일룸분당점</v>
      </c>
      <c r="I14" s="26" t="str">
        <f>VLOOKUP(B14,[1]계약체결용!$B:$K,8,0)</f>
        <v>135-10-97912</v>
      </c>
      <c r="J14" s="26" t="str">
        <f>VLOOKUP(B14,[1]계약체결용!$B:$K,9,0)</f>
        <v>최 상 헌</v>
      </c>
      <c r="K14" s="26" t="str">
        <f>VLOOKUP(B14,[1]계약체결용!$B:$K,10,0)</f>
        <v>경기도 성남시 분당구 대왕판교로214</v>
      </c>
      <c r="L14" s="29" t="s">
        <v>241</v>
      </c>
      <c r="M14" s="22" t="str">
        <f>VLOOKUP(L14,'[2]25년계약체결용'!$I$2:$O$72,7,0)</f>
        <v>csh6797@naver.com</v>
      </c>
    </row>
    <row r="15" spans="2:13" ht="17.399999999999999">
      <c r="B15" s="26" t="s">
        <v>182</v>
      </c>
      <c r="C15" s="26" t="s">
        <v>160</v>
      </c>
      <c r="D15" s="26" t="s">
        <v>56</v>
      </c>
      <c r="E15" s="26" t="s">
        <v>57</v>
      </c>
      <c r="F15" s="26" t="s">
        <v>58</v>
      </c>
      <c r="G15" s="26" t="str">
        <f t="shared" si="0"/>
        <v>이천만원 (\20,000,000원)</v>
      </c>
      <c r="H15" s="26" t="s">
        <v>194</v>
      </c>
      <c r="I15" s="26" t="s">
        <v>195</v>
      </c>
      <c r="J15" s="26" t="s">
        <v>180</v>
      </c>
      <c r="K15" s="26" t="s">
        <v>181</v>
      </c>
      <c r="L15" s="29" t="s">
        <v>195</v>
      </c>
      <c r="M15" s="22" t="s">
        <v>265</v>
      </c>
    </row>
    <row r="16" spans="2:13" ht="17.399999999999999">
      <c r="B16" s="26" t="s">
        <v>74</v>
      </c>
      <c r="C16" s="26" t="str">
        <f>VLOOKUP(B16,'[1]2503기준유통망'!$B:$E,4,0)</f>
        <v>B/S-Shop</v>
      </c>
      <c r="D16" s="26" t="s">
        <v>56</v>
      </c>
      <c r="E16" s="26" t="s">
        <v>57</v>
      </c>
      <c r="F16" s="26" t="s">
        <v>58</v>
      </c>
      <c r="G16" s="26" t="str">
        <f t="shared" si="0"/>
        <v>이천만원 (\20,000,000원)</v>
      </c>
      <c r="H16" s="26" t="str">
        <f>VLOOKUP(B16,[1]계약체결용!$B:$K,7,0)</f>
        <v>일룸서대전점2</v>
      </c>
      <c r="I16" s="26" t="str">
        <f>VLOOKUP(B16,[1]계약체결용!$B:$K,8,0)</f>
        <v>305-29-60452</v>
      </c>
      <c r="J16" s="26" t="str">
        <f>VLOOKUP(B16,[1]계약체결용!$B:$K,9,0)</f>
        <v>김 영 애</v>
      </c>
      <c r="K16" s="26" t="str">
        <f>VLOOKUP(B16,[1]계약체결용!$B:$K,10,0)</f>
        <v>대전 중구 중앙로 8 (문화동, 가구갤러리 8층)</v>
      </c>
      <c r="L16" s="29" t="s">
        <v>242</v>
      </c>
      <c r="M16" s="22" t="str">
        <f>VLOOKUP(L16,'[2]25년계약체결용'!$I$2:$O$72,7,0)</f>
        <v>iloom7052@hanmail.net</v>
      </c>
    </row>
    <row r="17" spans="2:13" ht="17.399999999999999">
      <c r="B17" s="26" t="s">
        <v>159</v>
      </c>
      <c r="C17" s="26" t="s">
        <v>160</v>
      </c>
      <c r="D17" s="26" t="s">
        <v>56</v>
      </c>
      <c r="E17" s="26" t="s">
        <v>57</v>
      </c>
      <c r="F17" s="26" t="s">
        <v>58</v>
      </c>
      <c r="G17" s="26" t="str">
        <f t="shared" si="0"/>
        <v>이천만원 (\20,000,000원)</v>
      </c>
      <c r="H17" s="26" t="s">
        <v>161</v>
      </c>
      <c r="I17" s="26" t="s">
        <v>162</v>
      </c>
      <c r="J17" s="26" t="s">
        <v>163</v>
      </c>
      <c r="K17" s="26" t="s">
        <v>164</v>
      </c>
      <c r="L17" s="29" t="s">
        <v>218</v>
      </c>
      <c r="M17" s="22" t="s">
        <v>264</v>
      </c>
    </row>
    <row r="18" spans="2:13" ht="17.399999999999999">
      <c r="B18" s="26" t="s">
        <v>75</v>
      </c>
      <c r="C18" s="26" t="str">
        <f>VLOOKUP(B18,'[1]2503기준유통망'!$B:$E,4,0)</f>
        <v>B/S-Shop</v>
      </c>
      <c r="D18" s="26" t="s">
        <v>56</v>
      </c>
      <c r="E18" s="26" t="s">
        <v>57</v>
      </c>
      <c r="F18" s="26" t="s">
        <v>58</v>
      </c>
      <c r="G18" s="26" t="str">
        <f t="shared" si="0"/>
        <v>이천만원 (\20,000,000원)</v>
      </c>
      <c r="H18" s="26" t="str">
        <f>VLOOKUP(B18,[1]계약체결용!$B:$K,7,0)</f>
        <v>일룸 세종점</v>
      </c>
      <c r="I18" s="26" t="str">
        <f>VLOOKUP(B18,[1]계약체결용!$B:$K,8,0)</f>
        <v>760-33-00129</v>
      </c>
      <c r="J18" s="26" t="str">
        <f>VLOOKUP(B18,[1]계약체결용!$B:$K,9,0)</f>
        <v>박정나, 이상연</v>
      </c>
      <c r="K18" s="26" t="str">
        <f>VLOOKUP(B18,[1]계약체결용!$B:$K,10,0)</f>
        <v>세종 아름동 1313 정원타워 3,4층</v>
      </c>
      <c r="L18" s="29" t="s">
        <v>243</v>
      </c>
      <c r="M18" s="22" t="s">
        <v>271</v>
      </c>
    </row>
    <row r="19" spans="2:13" ht="17.399999999999999">
      <c r="B19" s="26" t="s">
        <v>76</v>
      </c>
      <c r="C19" s="26" t="str">
        <f>VLOOKUP(B19,'[1]2503기준유통망'!$B:$E,4,0)</f>
        <v>B/S-Shop</v>
      </c>
      <c r="D19" s="26" t="s">
        <v>56</v>
      </c>
      <c r="E19" s="26" t="s">
        <v>57</v>
      </c>
      <c r="F19" s="26" t="s">
        <v>58</v>
      </c>
      <c r="G19" s="26" t="str">
        <f t="shared" si="0"/>
        <v>이천만원 (\20,000,000원)</v>
      </c>
      <c r="H19" s="26" t="str">
        <f>VLOOKUP(B19,[1]계약체결용!$B:$K,7,0)</f>
        <v>일룸수성점</v>
      </c>
      <c r="I19" s="26" t="str">
        <f>VLOOKUP(B19,[1]계약체결용!$B:$K,8,0)</f>
        <v>502-21-75604</v>
      </c>
      <c r="J19" s="26" t="str">
        <f>VLOOKUP(B19,[1]계약체결용!$B:$K,9,0)</f>
        <v>조진희, 차인호</v>
      </c>
      <c r="K19" s="26" t="str">
        <f>VLOOKUP(B19,[1]계약체결용!$B:$K,10,0)</f>
        <v>대구 수성구 희망로 152</v>
      </c>
      <c r="L19" s="29" t="s">
        <v>219</v>
      </c>
      <c r="M19" s="22" t="s">
        <v>272</v>
      </c>
    </row>
    <row r="20" spans="2:13" ht="17.399999999999999">
      <c r="B20" s="26" t="s">
        <v>77</v>
      </c>
      <c r="C20" s="26" t="str">
        <f>VLOOKUP(B20,'[1]2503기준유통망'!$B:$E,4,0)</f>
        <v>B/S-Shop</v>
      </c>
      <c r="D20" s="26" t="s">
        <v>56</v>
      </c>
      <c r="E20" s="26" t="s">
        <v>57</v>
      </c>
      <c r="F20" s="26" t="s">
        <v>58</v>
      </c>
      <c r="G20" s="26" t="str">
        <f t="shared" si="0"/>
        <v>이천만원 (\20,000,000원)</v>
      </c>
      <c r="H20" s="26" t="str">
        <f>VLOOKUP(B20,[1]계약체결용!$B:$K,7,0)</f>
        <v>주식회사 일룸</v>
      </c>
      <c r="I20" s="26" t="str">
        <f>VLOOKUP(B20,[1]계약체결용!$B:$K,8,0)</f>
        <v>142-88-00388</v>
      </c>
      <c r="J20" s="26" t="str">
        <f>VLOOKUP(B20,[1]계약체결용!$B:$K,9,0)</f>
        <v>김 대 현</v>
      </c>
      <c r="K20" s="26" t="str">
        <f>VLOOKUP(B20,[1]계약체결용!$B:$K,10,0)</f>
        <v>전남 순천시 중앙로 118</v>
      </c>
      <c r="L20" s="29" t="s">
        <v>188</v>
      </c>
      <c r="M20" s="22" t="s">
        <v>273</v>
      </c>
    </row>
    <row r="21" spans="2:13" ht="17.399999999999999">
      <c r="B21" s="26" t="s">
        <v>78</v>
      </c>
      <c r="C21" s="26" t="str">
        <f>VLOOKUP(B21,'[1]2503기준유통망'!$B:$E,4,0)</f>
        <v>B/S-Shop</v>
      </c>
      <c r="D21" s="26" t="s">
        <v>56</v>
      </c>
      <c r="E21" s="26" t="s">
        <v>57</v>
      </c>
      <c r="F21" s="26" t="s">
        <v>58</v>
      </c>
      <c r="G21" s="26" t="str">
        <f t="shared" si="0"/>
        <v>이천만원 (\20,000,000원)</v>
      </c>
      <c r="H21" s="26" t="str">
        <f>VLOOKUP(B21,[1]계약체결용!$B:$K,7,0)</f>
        <v>일룸안동점</v>
      </c>
      <c r="I21" s="26" t="str">
        <f>VLOOKUP(B21,[1]계약체결용!$B:$K,8,0)</f>
        <v>511-08-44988</v>
      </c>
      <c r="J21" s="26" t="str">
        <f>VLOOKUP(B21,[1]계약체결용!$B:$K,9,0)</f>
        <v>조현주, 박주홍</v>
      </c>
      <c r="K21" s="26" t="str">
        <f>VLOOKUP(B21,[1]계약체결용!$B:$K,10,0)</f>
        <v>경북 안동시 하이마로 151</v>
      </c>
      <c r="L21" s="29" t="s">
        <v>220</v>
      </c>
      <c r="M21" s="22" t="str">
        <f>VLOOKUP(L21,'[2]25년계약체결용'!$I$2:$O$72,7,0)</f>
        <v>amaxs@hanmail.net</v>
      </c>
    </row>
    <row r="22" spans="2:13" ht="17.399999999999999">
      <c r="B22" s="26" t="s">
        <v>79</v>
      </c>
      <c r="C22" s="26" t="str">
        <f>VLOOKUP(B22,'[1]2503기준유통망'!$B:$E,4,0)</f>
        <v>B/S-Shop</v>
      </c>
      <c r="D22" s="26" t="s">
        <v>56</v>
      </c>
      <c r="E22" s="26" t="s">
        <v>57</v>
      </c>
      <c r="F22" s="26" t="s">
        <v>58</v>
      </c>
      <c r="G22" s="26" t="str">
        <f t="shared" si="0"/>
        <v>이천만원 (\20,000,000원)</v>
      </c>
      <c r="H22" s="26" t="str">
        <f>VLOOKUP(B22,[1]계약체결용!$B:$K,7,0)</f>
        <v>일룸안산상록수점</v>
      </c>
      <c r="I22" s="26" t="str">
        <f>VLOOKUP(B22,[1]계약체결용!$B:$K,8,0)</f>
        <v>207-04-55609</v>
      </c>
      <c r="J22" s="26" t="s">
        <v>80</v>
      </c>
      <c r="K22" s="26" t="str">
        <f>VLOOKUP(B22,[1]계약체결용!$B:$K,10,0)</f>
        <v>경기 안산시 상록구 용신로 451-1(본오동,1,2층)</v>
      </c>
      <c r="L22" s="29" t="s">
        <v>244</v>
      </c>
      <c r="M22" s="22" t="str">
        <f>VLOOKUP(L22,'[2]25년계약체결용'!$I$2:$O$72,7,0)</f>
        <v>wish2199@naver.com</v>
      </c>
    </row>
    <row r="23" spans="2:13" ht="17.399999999999999">
      <c r="B23" s="26" t="s">
        <v>81</v>
      </c>
      <c r="C23" s="26" t="str">
        <f>VLOOKUP(B23,'[1]2503기준유통망'!$B:$E,4,0)</f>
        <v>B/S-Shop</v>
      </c>
      <c r="D23" s="26" t="s">
        <v>56</v>
      </c>
      <c r="E23" s="26" t="s">
        <v>57</v>
      </c>
      <c r="F23" s="26" t="s">
        <v>58</v>
      </c>
      <c r="G23" s="26" t="str">
        <f t="shared" si="0"/>
        <v>이천만원 (\20,000,000원)</v>
      </c>
      <c r="H23" s="26" t="str">
        <f>VLOOKUP(B23,[1]계약체결용!$B:$K,7,0)</f>
        <v>일룸양산점</v>
      </c>
      <c r="I23" s="26" t="str">
        <f>VLOOKUP(B23,[1]계약체결용!$B:$K,8,0)</f>
        <v>463-03-00712</v>
      </c>
      <c r="J23" s="26" t="str">
        <f>VLOOKUP(B23,[1]계약체결용!$B:$K,9,0)</f>
        <v>남 명 현</v>
      </c>
      <c r="K23" s="26" t="str">
        <f>VLOOKUP(B23,[1]계약체결용!$B:$K,10,0)</f>
        <v>경남 양산시 물금읍 황산로 497</v>
      </c>
      <c r="L23" s="29" t="s">
        <v>221</v>
      </c>
      <c r="M23" s="22" t="str">
        <f>VLOOKUP(L23,'[2]25년계약체결용'!$I$2:$O$72,7,0)</f>
        <v>godid56@nate.com</v>
      </c>
    </row>
    <row r="24" spans="2:13" ht="17.399999999999999">
      <c r="B24" s="26" t="s">
        <v>82</v>
      </c>
      <c r="C24" s="26" t="str">
        <f>VLOOKUP(B24,'[1]2503기준유통망'!$B:$E,4,0)</f>
        <v>B/S-Shop</v>
      </c>
      <c r="D24" s="26" t="s">
        <v>56</v>
      </c>
      <c r="E24" s="26" t="s">
        <v>57</v>
      </c>
      <c r="F24" s="26" t="s">
        <v>58</v>
      </c>
      <c r="G24" s="26" t="str">
        <f t="shared" si="0"/>
        <v>이천만원 (\20,000,000원)</v>
      </c>
      <c r="H24" s="26" t="str">
        <f>VLOOKUP(B24,[1]계약체결용!$B:$K,7,0)</f>
        <v>(주)일룸연제점</v>
      </c>
      <c r="I24" s="26" t="str">
        <f>VLOOKUP(B24,[1]계약체결용!$B:$K,8,0)</f>
        <v>388-87-01424</v>
      </c>
      <c r="J24" s="26" t="str">
        <f>VLOOKUP(B24,[1]계약체결용!$B:$K,9,0)</f>
        <v>이 철 희</v>
      </c>
      <c r="K24" s="26" t="str">
        <f>VLOOKUP(B24,[1]계약체결용!$B:$K,10,0)</f>
        <v>부산 연제구 거제대로 297, 2~3층</v>
      </c>
      <c r="L24" s="29" t="s">
        <v>245</v>
      </c>
      <c r="M24" s="22" t="s">
        <v>274</v>
      </c>
    </row>
    <row r="25" spans="2:13" ht="17.399999999999999">
      <c r="B25" s="26" t="s">
        <v>83</v>
      </c>
      <c r="C25" s="26" t="str">
        <f>VLOOKUP(B25,'[1]2503기준유통망'!$B:$E,4,0)</f>
        <v>B/S-Shop</v>
      </c>
      <c r="D25" s="26" t="s">
        <v>56</v>
      </c>
      <c r="E25" s="26" t="s">
        <v>57</v>
      </c>
      <c r="F25" s="26" t="s">
        <v>58</v>
      </c>
      <c r="G25" s="26" t="str">
        <f t="shared" si="0"/>
        <v>이천만원 (\20,000,000원)</v>
      </c>
      <c r="H25" s="26" t="str">
        <f>VLOOKUP(B25,[1]계약체결용!$B:$K,7,0)</f>
        <v>일룸원주점</v>
      </c>
      <c r="I25" s="26" t="str">
        <f>VLOOKUP(B25,[1]계약체결용!$B:$K,8,0)</f>
        <v>224-07-71963</v>
      </c>
      <c r="J25" s="26" t="str">
        <f>VLOOKUP(B25,[1]계약체결용!$B:$K,9,0)</f>
        <v>이 정 복</v>
      </c>
      <c r="K25" s="26" t="str">
        <f>VLOOKUP(B25,[1]계약체결용!$B:$K,10,0)</f>
        <v>강원 원주시 호저면 원문로 668-9 만종가구단지 2층</v>
      </c>
      <c r="L25" s="29" t="s">
        <v>222</v>
      </c>
      <c r="M25" s="22" t="s">
        <v>283</v>
      </c>
    </row>
    <row r="26" spans="2:13" ht="17.399999999999999">
      <c r="B26" s="26" t="s">
        <v>84</v>
      </c>
      <c r="C26" s="26" t="str">
        <f>VLOOKUP(B26,'[1]2503기준유통망'!$B:$E,4,0)</f>
        <v>B/S-Shop</v>
      </c>
      <c r="D26" s="26" t="s">
        <v>56</v>
      </c>
      <c r="E26" s="26" t="s">
        <v>57</v>
      </c>
      <c r="F26" s="26" t="s">
        <v>58</v>
      </c>
      <c r="G26" s="26" t="str">
        <f t="shared" si="0"/>
        <v>이천만원 (\20,000,000원)</v>
      </c>
      <c r="H26" s="26" t="str">
        <f>VLOOKUP(B26,[1]계약체결용!$B:$K,7,0)</f>
        <v>일룸의정부브랜드샵</v>
      </c>
      <c r="I26" s="26" t="str">
        <f>VLOOKUP(B26,[1]계약체결용!$B:$K,8,0)</f>
        <v>550-88-00221</v>
      </c>
      <c r="J26" s="26" t="str">
        <f>VLOOKUP(B26,[1]계약체결용!$B:$K,9,0)</f>
        <v>이 경 숙</v>
      </c>
      <c r="K26" s="26" t="str">
        <f>VLOOKUP(B26,[1]계약체결용!$B:$K,10,0)</f>
        <v>경기 의정부시 민락로 397</v>
      </c>
      <c r="L26" s="29" t="s">
        <v>246</v>
      </c>
      <c r="M26" s="22" t="str">
        <f>VLOOKUP(L26,'[2]25년계약체결용'!$I$2:$O$72,7,0)</f>
        <v>jail5775@hanmail.net</v>
      </c>
    </row>
    <row r="27" spans="2:13" ht="17.399999999999999">
      <c r="B27" s="26" t="s">
        <v>85</v>
      </c>
      <c r="C27" s="26" t="str">
        <f>VLOOKUP(B27,'[1]2503기준유통망'!$B:$E,4,0)</f>
        <v>B/S-Shop</v>
      </c>
      <c r="D27" s="26" t="s">
        <v>56</v>
      </c>
      <c r="E27" s="26" t="s">
        <v>57</v>
      </c>
      <c r="F27" s="26" t="s">
        <v>58</v>
      </c>
      <c r="G27" s="26" t="str">
        <f t="shared" si="0"/>
        <v>이천만원 (\20,000,000원)</v>
      </c>
      <c r="H27" s="26" t="str">
        <f>VLOOKUP(B27,[1]계약체결용!$B:$K,7,0)</f>
        <v>(주)알루컴 인천점</v>
      </c>
      <c r="I27" s="26" t="str">
        <f>VLOOKUP(B27,[1]계약체결용!$B:$K,8,0)</f>
        <v>105-85-41701</v>
      </c>
      <c r="J27" s="26" t="str">
        <f>VLOOKUP(B27,[1]계약체결용!$B:$K,9,0)</f>
        <v>이 종 균</v>
      </c>
      <c r="K27" s="26" t="str">
        <f>VLOOKUP(B27,[1]계약체결용!$B:$K,10,0)</f>
        <v>인천 남동구 인주대로 644</v>
      </c>
      <c r="L27" s="29" t="s">
        <v>176</v>
      </c>
      <c r="M27" s="22" t="s">
        <v>275</v>
      </c>
    </row>
    <row r="28" spans="2:13" ht="17.399999999999999">
      <c r="B28" s="26" t="s">
        <v>86</v>
      </c>
      <c r="C28" s="26" t="str">
        <f>VLOOKUP(B28,'[1]2503기준유통망'!$B:$E,4,0)</f>
        <v>B/S-Shop</v>
      </c>
      <c r="D28" s="26" t="s">
        <v>56</v>
      </c>
      <c r="E28" s="26" t="s">
        <v>57</v>
      </c>
      <c r="F28" s="26" t="s">
        <v>58</v>
      </c>
      <c r="G28" s="26" t="str">
        <f t="shared" si="0"/>
        <v>이천만원 (\20,000,000원)</v>
      </c>
      <c r="H28" s="26" t="str">
        <f>VLOOKUP(B28,[1]계약체결용!$B:$K,7,0)</f>
        <v>(주)플랜 디</v>
      </c>
      <c r="I28" s="26" t="str">
        <f>VLOOKUP(B28,[1]계약체결용!$B:$K,8,0)</f>
        <v>670-81-01506</v>
      </c>
      <c r="J28" s="26" t="str">
        <f>VLOOKUP(B28,[1]계약체결용!$B:$K,9,0)</f>
        <v>김정은, 안중협</v>
      </c>
      <c r="K28" s="26" t="s">
        <v>193</v>
      </c>
      <c r="L28" s="29" t="s">
        <v>247</v>
      </c>
      <c r="M28" s="22" t="str">
        <f>VLOOKUP(L28,'[2]25년계약체결용'!$I$2:$O$72,7,0)</f>
        <v>garnet212@naver.com</v>
      </c>
    </row>
    <row r="29" spans="2:13" ht="17.399999999999999">
      <c r="B29" s="26" t="s">
        <v>87</v>
      </c>
      <c r="C29" s="26" t="str">
        <f>VLOOKUP(B29,'[1]2503기준유통망'!$B:$E,4,0)</f>
        <v>B/S-Shop</v>
      </c>
      <c r="D29" s="26" t="s">
        <v>56</v>
      </c>
      <c r="E29" s="26" t="s">
        <v>57</v>
      </c>
      <c r="F29" s="26" t="s">
        <v>58</v>
      </c>
      <c r="G29" s="26" t="str">
        <f t="shared" si="0"/>
        <v>이천만원 (\20,000,000원)</v>
      </c>
      <c r="H29" s="26" t="str">
        <f>VLOOKUP(B29,[1]계약체결용!$B:$K,7,0)</f>
        <v>일룸전군점</v>
      </c>
      <c r="I29" s="26" t="str">
        <f>VLOOKUP(B29,[1]계약체결용!$B:$K,8,0)</f>
        <v>403-03-30193</v>
      </c>
      <c r="J29" s="26" t="str">
        <f>VLOOKUP(B29,[1]계약체결용!$B:$K,9,0)</f>
        <v>안 상 준</v>
      </c>
      <c r="K29" s="26" t="str">
        <f>VLOOKUP(B29,[1]계약체결용!$B:$K,10,0)</f>
        <v>전북 김제시 백구면 영상3길 28-26</v>
      </c>
      <c r="L29" s="29" t="s">
        <v>223</v>
      </c>
      <c r="M29" s="22" t="str">
        <f>VLOOKUP(L29,'[2]25년계약체결용'!$I$2:$O$72,7,0)</f>
        <v>iloom4200@naver.com</v>
      </c>
    </row>
    <row r="30" spans="2:13" ht="17.399999999999999">
      <c r="B30" s="26" t="s">
        <v>88</v>
      </c>
      <c r="C30" s="26" t="str">
        <f>VLOOKUP(B30,'[1]2503기준유통망'!$B:$E,4,0)</f>
        <v>B/S-Shop</v>
      </c>
      <c r="D30" s="26" t="s">
        <v>56</v>
      </c>
      <c r="E30" s="26" t="s">
        <v>57</v>
      </c>
      <c r="F30" s="26" t="s">
        <v>58</v>
      </c>
      <c r="G30" s="26" t="str">
        <f t="shared" si="0"/>
        <v>이천만원 (\20,000,000원)</v>
      </c>
      <c r="H30" s="26" t="str">
        <f>VLOOKUP(B30,[1]계약체결용!$B:$K,7,0)</f>
        <v>일룸중화산점</v>
      </c>
      <c r="I30" s="26" t="str">
        <f>VLOOKUP(B30,[1]계약체결용!$B:$K,8,0)</f>
        <v>402-20-78721</v>
      </c>
      <c r="J30" s="26" t="str">
        <f>VLOOKUP(B30,[1]계약체결용!$B:$K,9,0)</f>
        <v>양 유 진</v>
      </c>
      <c r="K30" s="26" t="str">
        <f>VLOOKUP(B30,[1]계약체결용!$B:$K,10,0)</f>
        <v>전북 전주시 완산구 중화산동2가 528-6</v>
      </c>
      <c r="L30" s="29" t="s">
        <v>248</v>
      </c>
      <c r="M30" s="22" t="str">
        <f>VLOOKUP(L30,'[2]25년계약체결용'!$I$2:$O$72,7,0)</f>
        <v>power5550@hanmail.net</v>
      </c>
    </row>
    <row r="31" spans="2:13" ht="17.399999999999999">
      <c r="B31" s="26" t="s">
        <v>89</v>
      </c>
      <c r="C31" s="26" t="str">
        <f>VLOOKUP(B31,'[1]2503기준유통망'!$B:$E,4,0)</f>
        <v>B/S-Shop</v>
      </c>
      <c r="D31" s="26" t="s">
        <v>56</v>
      </c>
      <c r="E31" s="26" t="s">
        <v>57</v>
      </c>
      <c r="F31" s="26" t="s">
        <v>58</v>
      </c>
      <c r="G31" s="26" t="str">
        <f t="shared" si="0"/>
        <v>이천만원 (\20,000,000원)</v>
      </c>
      <c r="H31" s="26" t="str">
        <f>VLOOKUP(B31,[1]계약체결용!$B:$K,7,0)</f>
        <v>일룸진주점</v>
      </c>
      <c r="I31" s="26" t="str">
        <f>VLOOKUP(B31,[1]계약체결용!$B:$K,8,0)</f>
        <v>613-06-76176</v>
      </c>
      <c r="J31" s="26" t="str">
        <f>VLOOKUP(B31,[1]계약체결용!$B:$K,9,0)</f>
        <v>김지융, 김현실</v>
      </c>
      <c r="K31" s="26" t="str">
        <f>VLOOKUP(B31,[1]계약체결용!$B:$K,10,0)</f>
        <v>경남 진주시 진주대로 638(가좌동)</v>
      </c>
      <c r="L31" s="29" t="s">
        <v>224</v>
      </c>
      <c r="M31" s="22" t="str">
        <f>VLOOKUP(L31,'[2]25년계약체결용'!$I$2:$O$72,7,0)</f>
        <v>rlduql_par@naver.com</v>
      </c>
    </row>
    <row r="32" spans="2:13" ht="17.399999999999999">
      <c r="B32" s="26" t="s">
        <v>90</v>
      </c>
      <c r="C32" s="26" t="str">
        <f>VLOOKUP(B32,'[1]2503기준유통망'!$B:$E,4,0)</f>
        <v>B/S-Shop</v>
      </c>
      <c r="D32" s="26" t="s">
        <v>56</v>
      </c>
      <c r="E32" s="26" t="s">
        <v>57</v>
      </c>
      <c r="F32" s="26" t="s">
        <v>58</v>
      </c>
      <c r="G32" s="26" t="str">
        <f t="shared" si="0"/>
        <v>이천만원 (\20,000,000원)</v>
      </c>
      <c r="H32" s="26" t="str">
        <f>VLOOKUP(B32,[1]계약체결용!$B:$K,7,0)</f>
        <v>(주)창원퍼시스</v>
      </c>
      <c r="I32" s="26" t="str">
        <f>VLOOKUP(B32,[1]계약체결용!$B:$K,8,0)</f>
        <v>609-81-43386</v>
      </c>
      <c r="J32" s="26" t="str">
        <f>VLOOKUP(B32,[1]계약체결용!$B:$K,9,0)</f>
        <v>정 진 환</v>
      </c>
      <c r="K32" s="26" t="str">
        <f>VLOOKUP(B32,[1]계약체결용!$B:$K,10,0)</f>
        <v>경상남도 창원시 의창구 창원대로 360</v>
      </c>
      <c r="L32" s="29" t="s">
        <v>249</v>
      </c>
      <c r="M32" s="22" t="s">
        <v>276</v>
      </c>
    </row>
    <row r="33" spans="2:13" ht="17.399999999999999">
      <c r="B33" s="26" t="s">
        <v>91</v>
      </c>
      <c r="C33" s="26" t="str">
        <f>VLOOKUP(B33,'[1]2503기준유통망'!$B:$E,4,0)</f>
        <v>B/S-Shop</v>
      </c>
      <c r="D33" s="26" t="s">
        <v>56</v>
      </c>
      <c r="E33" s="26" t="s">
        <v>57</v>
      </c>
      <c r="F33" s="26" t="s">
        <v>58</v>
      </c>
      <c r="G33" s="26" t="str">
        <f t="shared" si="0"/>
        <v>이천만원 (\20,000,000원)</v>
      </c>
      <c r="H33" s="26" t="str">
        <f>VLOOKUP(B33,[1]계약체결용!$B:$K,7,0)</f>
        <v>일룸천안불당점</v>
      </c>
      <c r="I33" s="26" t="str">
        <f>VLOOKUP(B33,[1]계약체결용!$B:$K,8,0)</f>
        <v>416-22-25834</v>
      </c>
      <c r="J33" s="26" t="s">
        <v>192</v>
      </c>
      <c r="K33" s="26" t="str">
        <f>VLOOKUP(B33,[1]계약체결용!$B:$K,10,0)</f>
        <v>충남 천안시 서북구 검은들3길 36 (불당동)</v>
      </c>
      <c r="L33" s="29" t="s">
        <v>225</v>
      </c>
      <c r="M33" s="22" t="str">
        <f>VLOOKUP(L33,'[2]25년계약체결용'!$I$2:$O$72,7,0)</f>
        <v>skylove2809@hanmail.net</v>
      </c>
    </row>
    <row r="34" spans="2:13" ht="17.399999999999999">
      <c r="B34" s="26" t="s">
        <v>92</v>
      </c>
      <c r="C34" s="26" t="str">
        <f>VLOOKUP(B34,'[1]2503기준유통망'!$B:$E,4,0)</f>
        <v>B/S-Shop</v>
      </c>
      <c r="D34" s="26" t="s">
        <v>56</v>
      </c>
      <c r="E34" s="26" t="s">
        <v>57</v>
      </c>
      <c r="F34" s="26" t="s">
        <v>58</v>
      </c>
      <c r="G34" s="26" t="str">
        <f t="shared" si="0"/>
        <v>이천만원 (\20,000,000원)</v>
      </c>
      <c r="H34" s="26" t="str">
        <f>VLOOKUP(B34,[1]계약체결용!$B:$K,7,0)</f>
        <v>일룸청남점</v>
      </c>
      <c r="I34" s="26" t="str">
        <f>VLOOKUP(B34,[1]계약체결용!$B:$K,8,0)</f>
        <v>745-10-00252</v>
      </c>
      <c r="J34" s="26" t="str">
        <f>VLOOKUP(B34,[1]계약체결용!$B:$K,9,0)</f>
        <v>박 종 상</v>
      </c>
      <c r="K34" s="26" t="str">
        <f>VLOOKUP(B34,[1]계약체결용!$B:$K,10,0)</f>
        <v>충북 청주시 서원구 남이면 가구단지길 21-3 청남가구단지 105호</v>
      </c>
      <c r="L34" s="29" t="s">
        <v>250</v>
      </c>
      <c r="M34" s="22" t="str">
        <f>VLOOKUP(L34,'[2]25년계약체결용'!$I$2:$O$72,7,0)</f>
        <v>brqok@naver.com</v>
      </c>
    </row>
    <row r="35" spans="2:13" ht="17.399999999999999">
      <c r="B35" s="26" t="s">
        <v>93</v>
      </c>
      <c r="C35" s="26" t="str">
        <f>VLOOKUP(B35,'[1]2503기준유통망'!$B:$E,4,0)</f>
        <v>B/S-Shop</v>
      </c>
      <c r="D35" s="26" t="s">
        <v>56</v>
      </c>
      <c r="E35" s="26" t="s">
        <v>57</v>
      </c>
      <c r="F35" s="26" t="s">
        <v>58</v>
      </c>
      <c r="G35" s="26" t="str">
        <f t="shared" si="0"/>
        <v>이천만원 (\20,000,000원)</v>
      </c>
      <c r="H35" s="26" t="str">
        <f>VLOOKUP(B35,[1]계약체결용!$B:$K,7,0)</f>
        <v>(주)조은파트너스</v>
      </c>
      <c r="I35" s="26" t="str">
        <f>VLOOKUP(B35,[1]계약체결용!$B:$K,8,0)</f>
        <v>335-87-02787</v>
      </c>
      <c r="J35" s="26" t="str">
        <f>VLOOKUP(B35,[1]계약체결용!$B:$K,9,0)</f>
        <v>최 현 수</v>
      </c>
      <c r="K35" s="26" t="str">
        <f>VLOOKUP(B35,[1]계약체결용!$B:$K,10,0)</f>
        <v>충북 청주시 상당구 용암동 1587</v>
      </c>
      <c r="L35" s="29" t="s">
        <v>226</v>
      </c>
      <c r="M35" s="22" t="s">
        <v>277</v>
      </c>
    </row>
    <row r="36" spans="2:13" ht="17.399999999999999">
      <c r="B36" s="26" t="s">
        <v>94</v>
      </c>
      <c r="C36" s="26" t="str">
        <f>VLOOKUP(B36,'[1]2503기준유통망'!$B:$E,4,0)</f>
        <v>B/S-Shop</v>
      </c>
      <c r="D36" s="26" t="s">
        <v>56</v>
      </c>
      <c r="E36" s="26" t="s">
        <v>57</v>
      </c>
      <c r="F36" s="26" t="s">
        <v>58</v>
      </c>
      <c r="G36" s="26" t="str">
        <f t="shared" si="0"/>
        <v>이천만원 (\20,000,000원)</v>
      </c>
      <c r="H36" s="26" t="str">
        <f>VLOOKUP(B36,[1]계약체결용!$B:$K,7,0)</f>
        <v>(주)일룸청주중앙점</v>
      </c>
      <c r="I36" s="26" t="str">
        <f>VLOOKUP(B36,[1]계약체결용!$B:$K,8,0)</f>
        <v>785-86-00352</v>
      </c>
      <c r="J36" s="26" t="str">
        <f>VLOOKUP(B36,[1]계약체결용!$B:$K,9,0)</f>
        <v>함 지 연</v>
      </c>
      <c r="K36" s="26" t="str">
        <f>VLOOKUP(B36,[1]계약체결용!$B:$K,10,0)</f>
        <v>충북 청주시 흥덕구 강서로 55, 2층</v>
      </c>
      <c r="L36" s="29" t="s">
        <v>251</v>
      </c>
      <c r="M36" s="22" t="str">
        <f>VLOOKUP(L36,'[2]25년계약체결용'!$I$2:$O$72,7,0)</f>
        <v>iloom1@nate.com</v>
      </c>
    </row>
    <row r="37" spans="2:13">
      <c r="B37" s="26" t="s">
        <v>95</v>
      </c>
      <c r="C37" s="26" t="str">
        <f>VLOOKUP(B37,'[1]2503기준유통망'!$B:$E,4,0)</f>
        <v>B/S-Shop</v>
      </c>
      <c r="D37" s="26" t="s">
        <v>56</v>
      </c>
      <c r="E37" s="26" t="s">
        <v>57</v>
      </c>
      <c r="F37" s="26" t="s">
        <v>58</v>
      </c>
      <c r="G37" s="26" t="str">
        <f t="shared" si="0"/>
        <v>이천만원 (\20,000,000원)</v>
      </c>
      <c r="H37" s="26" t="str">
        <f>VLOOKUP(B37,[1]계약체결용!$B:$K,7,0)</f>
        <v>퍼시스춘천전시장</v>
      </c>
      <c r="I37" s="26" t="str">
        <f>VLOOKUP(B37,[1]계약체결용!$B:$K,8,0)</f>
        <v>221-02-56686</v>
      </c>
      <c r="J37" s="26" t="str">
        <f>VLOOKUP(B37,[1]계약체결용!$B:$K,9,0)</f>
        <v>이 신 구</v>
      </c>
      <c r="K37" s="26" t="str">
        <f>VLOOKUP(B37,[1]계약체결용!$B:$K,10,0)</f>
        <v>강원 춘천시 동면 만천리 700번지</v>
      </c>
      <c r="L37" s="22" t="s">
        <v>227</v>
      </c>
      <c r="M37" s="22" t="s">
        <v>278</v>
      </c>
    </row>
    <row r="38" spans="2:13">
      <c r="B38" s="26" t="s">
        <v>96</v>
      </c>
      <c r="C38" s="26" t="str">
        <f>VLOOKUP(B38,'[1]2503기준유통망'!$B:$E,4,0)</f>
        <v>B/S-Shop</v>
      </c>
      <c r="D38" s="26" t="s">
        <v>56</v>
      </c>
      <c r="E38" s="26" t="s">
        <v>57</v>
      </c>
      <c r="F38" s="26" t="s">
        <v>58</v>
      </c>
      <c r="G38" s="26" t="str">
        <f t="shared" si="0"/>
        <v>이천만원 (\20,000,000원)</v>
      </c>
      <c r="H38" s="26" t="str">
        <f>VLOOKUP(B38,[1]계약체결용!$B:$K,7,0)</f>
        <v>일룸포항점</v>
      </c>
      <c r="I38" s="26" t="str">
        <f>VLOOKUP(B38,[1]계약체결용!$B:$K,8,0)</f>
        <v>506-04-65571</v>
      </c>
      <c r="J38" s="26" t="str">
        <f>VLOOKUP(B38,[1]계약체결용!$B:$K,9,0)</f>
        <v>김 미 경</v>
      </c>
      <c r="K38" s="26" t="str">
        <f>VLOOKUP(B38,[1]계약체결용!$B:$K,10,0)</f>
        <v>경북 포항시 북구 환호로 75</v>
      </c>
      <c r="L38" s="22" t="s">
        <v>252</v>
      </c>
      <c r="M38" s="22" t="str">
        <f>VLOOKUP(L38,'[2]25년계약체결용'!$I$2:$O$72,7,0)</f>
        <v>hnhhnhh@hanmail.net</v>
      </c>
    </row>
    <row r="39" spans="2:13">
      <c r="B39" s="26" t="s">
        <v>97</v>
      </c>
      <c r="C39" s="26" t="str">
        <f>VLOOKUP(B39,'[1]2503기준유통망'!$B:$E,4,0)</f>
        <v>B/S-Shop</v>
      </c>
      <c r="D39" s="26" t="s">
        <v>56</v>
      </c>
      <c r="E39" s="26" t="s">
        <v>57</v>
      </c>
      <c r="F39" s="26" t="s">
        <v>58</v>
      </c>
      <c r="G39" s="26" t="str">
        <f t="shared" si="0"/>
        <v>이천만원 (\20,000,000원)</v>
      </c>
      <c r="H39" s="26" t="str">
        <f>VLOOKUP(B39,[1]계약체결용!$B:$K,7,0)</f>
        <v>일룸포항중앙점</v>
      </c>
      <c r="I39" s="26" t="str">
        <f>VLOOKUP(B39,[1]계약체결용!$B:$K,8,0)</f>
        <v>506-14-15162</v>
      </c>
      <c r="J39" s="26" t="str">
        <f>VLOOKUP(B39,[1]계약체결용!$B:$K,9,0)</f>
        <v>신 현 정</v>
      </c>
      <c r="K39" s="26" t="str">
        <f>VLOOKUP(B39,[1]계약체결용!$B:$K,10,0)</f>
        <v>경북 포항시 북구 중흥로213번길 49</v>
      </c>
      <c r="L39" s="22" t="s">
        <v>253</v>
      </c>
      <c r="M39" s="22" t="str">
        <f>VLOOKUP(L39,'[2]25년계약체결용'!$I$2:$O$72,7,0)</f>
        <v>shjj_2000@hanmail.net</v>
      </c>
    </row>
    <row r="40" spans="2:13">
      <c r="B40" s="26" t="s">
        <v>98</v>
      </c>
      <c r="C40" s="26" t="str">
        <f>VLOOKUP(B40,'[1]2503기준유통망'!$B:$E,4,0)</f>
        <v>B/S-Shop</v>
      </c>
      <c r="D40" s="26" t="s">
        <v>56</v>
      </c>
      <c r="E40" s="26" t="s">
        <v>57</v>
      </c>
      <c r="F40" s="26" t="s">
        <v>58</v>
      </c>
      <c r="G40" s="26" t="str">
        <f t="shared" si="0"/>
        <v>이천만원 (\20,000,000원)</v>
      </c>
      <c r="H40" s="26" t="str">
        <f>VLOOKUP(B40,[1]계약체결용!$B:$K,7,0)</f>
        <v>일룸부산하단점</v>
      </c>
      <c r="I40" s="26" t="str">
        <f>VLOOKUP(B40,[1]계약체결용!$B:$K,8,0)</f>
        <v>617-29-91066</v>
      </c>
      <c r="J40" s="26" t="str">
        <f>VLOOKUP(B40,[1]계약체결용!$B:$K,9,0)</f>
        <v>우 영 숙</v>
      </c>
      <c r="K40" s="26" t="str">
        <f>VLOOKUP(B40,[1]계약체결용!$B:$K,10,0)</f>
        <v>부산광역시 사하구 낙동남로 1359 (하단동)</v>
      </c>
      <c r="L40" s="22" t="s">
        <v>254</v>
      </c>
      <c r="M40" s="22" t="s">
        <v>279</v>
      </c>
    </row>
    <row r="41" spans="2:13">
      <c r="B41" s="26" t="s">
        <v>99</v>
      </c>
      <c r="C41" s="26" t="str">
        <f>VLOOKUP(B41,'[1]2503기준유통망'!$B:$E,4,0)</f>
        <v>b/s-shop (입점)</v>
      </c>
      <c r="D41" s="26" t="s">
        <v>56</v>
      </c>
      <c r="E41" s="26" t="s">
        <v>57</v>
      </c>
      <c r="F41" s="26" t="s">
        <v>58</v>
      </c>
      <c r="G41" s="26" t="str">
        <f t="shared" si="0"/>
        <v>이천만원 (\20,000,000원)</v>
      </c>
      <c r="H41" s="26" t="s">
        <v>100</v>
      </c>
      <c r="I41" s="26" t="s">
        <v>101</v>
      </c>
      <c r="J41" s="26" t="s">
        <v>102</v>
      </c>
      <c r="K41" s="26" t="s">
        <v>103</v>
      </c>
      <c r="L41" s="22" t="s">
        <v>228</v>
      </c>
      <c r="M41" s="22" t="s">
        <v>280</v>
      </c>
    </row>
    <row r="42" spans="2:13">
      <c r="B42" s="26" t="s">
        <v>104</v>
      </c>
      <c r="C42" s="26" t="str">
        <f>VLOOKUP(B42,'[1]2503기준유통망'!$B:$E,4,0)</f>
        <v>b/s-shop (입점)</v>
      </c>
      <c r="D42" s="26" t="s">
        <v>56</v>
      </c>
      <c r="E42" s="26" t="s">
        <v>57</v>
      </c>
      <c r="F42" s="26" t="s">
        <v>58</v>
      </c>
      <c r="G42" s="26" t="str">
        <f t="shared" si="0"/>
        <v>이천만원 (\20,000,000원)</v>
      </c>
      <c r="H42" s="26" t="str">
        <f>VLOOKUP(B42,[1]계약체결용!$B:$K,7,0)</f>
        <v>일룸 롯데동탄점</v>
      </c>
      <c r="I42" s="26" t="str">
        <f>VLOOKUP(B42,[1]계약체결용!$B:$K,8,0)</f>
        <v>836-07-02556</v>
      </c>
      <c r="J42" s="26" t="str">
        <f>VLOOKUP(B42,[1]계약체결용!$B:$K,9,0)</f>
        <v>박 철 홍</v>
      </c>
      <c r="K42" s="26" t="str">
        <f>VLOOKUP(B42,[1]계약체결용!$B:$K,10,0)</f>
        <v>경기도 화성시 동탄역로 160, 4층(오산동, 롯데백화점)</v>
      </c>
      <c r="L42" s="22" t="s">
        <v>255</v>
      </c>
      <c r="M42" s="22" t="str">
        <f>VLOOKUP(L42,'[2]25년계약체결용'!$I$2:$O$72,7,0)</f>
        <v>cholhong73@hanmail.net</v>
      </c>
    </row>
    <row r="43" spans="2:13">
      <c r="B43" s="26" t="s">
        <v>105</v>
      </c>
      <c r="C43" s="26" t="str">
        <f>VLOOKUP(B43,'[1]2503기준유통망'!$B:$E,4,0)</f>
        <v>b/s-shop (입점)</v>
      </c>
      <c r="D43" s="26" t="s">
        <v>56</v>
      </c>
      <c r="E43" s="26" t="s">
        <v>57</v>
      </c>
      <c r="F43" s="26" t="s">
        <v>58</v>
      </c>
      <c r="G43" s="26" t="str">
        <f t="shared" si="0"/>
        <v>이천만원 (\20,000,000원)</v>
      </c>
      <c r="H43" s="26" t="s">
        <v>106</v>
      </c>
      <c r="I43" s="26" t="s">
        <v>107</v>
      </c>
      <c r="J43" s="26" t="s">
        <v>108</v>
      </c>
      <c r="K43" s="26" t="s">
        <v>109</v>
      </c>
      <c r="L43" s="22" t="s">
        <v>229</v>
      </c>
      <c r="M43" s="22" t="str">
        <f>VLOOKUP(L43,'[2]25년계약체결용'!$I$2:$O$72,7,0)</f>
        <v>to7887@nate.com</v>
      </c>
    </row>
    <row r="44" spans="2:13">
      <c r="B44" s="26" t="s">
        <v>110</v>
      </c>
      <c r="C44" s="26" t="str">
        <f>VLOOKUP(B44,'[1]2503기준유통망'!$B:$E,4,0)</f>
        <v>b/s-shop (입점)</v>
      </c>
      <c r="D44" s="26" t="s">
        <v>56</v>
      </c>
      <c r="E44" s="26" t="s">
        <v>57</v>
      </c>
      <c r="F44" s="26" t="s">
        <v>58</v>
      </c>
      <c r="G44" s="26" t="str">
        <f t="shared" si="0"/>
        <v>이천만원 (\20,000,000원)</v>
      </c>
      <c r="H44" s="26" t="s">
        <v>111</v>
      </c>
      <c r="I44" s="26" t="s">
        <v>112</v>
      </c>
      <c r="J44" s="26" t="s">
        <v>113</v>
      </c>
      <c r="K44" s="26" t="s">
        <v>114</v>
      </c>
      <c r="L44" s="22" t="s">
        <v>256</v>
      </c>
      <c r="M44" s="22" t="str">
        <f>VLOOKUP(L44,'[2]25년계약체결용'!$I$2:$O$72,7,0)</f>
        <v>hg1634@naver.com</v>
      </c>
    </row>
    <row r="45" spans="2:13">
      <c r="B45" s="26" t="s">
        <v>115</v>
      </c>
      <c r="C45" s="26" t="str">
        <f>VLOOKUP(B45,'[1]2503기준유통망'!$B:$E,4,0)</f>
        <v>b/s-shop (입점)</v>
      </c>
      <c r="D45" s="26" t="s">
        <v>56</v>
      </c>
      <c r="E45" s="26" t="s">
        <v>57</v>
      </c>
      <c r="F45" s="26" t="s">
        <v>58</v>
      </c>
      <c r="G45" s="26" t="str">
        <f t="shared" si="0"/>
        <v>이천만원 (\20,000,000원)</v>
      </c>
      <c r="H45" s="26" t="s">
        <v>116</v>
      </c>
      <c r="I45" s="26" t="s">
        <v>117</v>
      </c>
      <c r="J45" s="26" t="s">
        <v>44</v>
      </c>
      <c r="K45" s="26" t="s">
        <v>118</v>
      </c>
      <c r="L45" s="22" t="s">
        <v>230</v>
      </c>
      <c r="M45" s="22" t="str">
        <f>VLOOKUP(L45,'[2]25년계약체결용'!$I$2:$O$72,7,0)</f>
        <v>gyun0502@hotmail.com</v>
      </c>
    </row>
    <row r="46" spans="2:13">
      <c r="B46" s="26" t="s">
        <v>119</v>
      </c>
      <c r="C46" s="26" t="str">
        <f>VLOOKUP(B46,'[1]2503기준유통망'!$B:$E,4,0)</f>
        <v>b/s-shop (입점)</v>
      </c>
      <c r="D46" s="26" t="s">
        <v>56</v>
      </c>
      <c r="E46" s="26" t="s">
        <v>57</v>
      </c>
      <c r="F46" s="26" t="s">
        <v>58</v>
      </c>
      <c r="G46" s="26" t="str">
        <f t="shared" si="0"/>
        <v>이천만원 (\20,000,000원)</v>
      </c>
      <c r="H46" s="26" t="str">
        <f>VLOOKUP(B46,[1]계약체결용!$B:$K,7,0)</f>
        <v>(주)아이룸텍</v>
      </c>
      <c r="I46" s="26" t="str">
        <f>VLOOKUP(B46,[1]계약체결용!$B:$K,8,0)</f>
        <v>778-87-02591</v>
      </c>
      <c r="J46" s="26" t="str">
        <f>VLOOKUP(B46,[1]계약체결용!$B:$K,9,0)</f>
        <v>오 중 현</v>
      </c>
      <c r="K46" s="26" t="str">
        <f>VLOOKUP(B46,[1]계약체결용!$B:$K,10,0)</f>
        <v>서울 중랑구 동일로 898</v>
      </c>
      <c r="L46" s="22" t="s">
        <v>229</v>
      </c>
      <c r="M46" s="22" t="str">
        <f>VLOOKUP(L46,'[2]25년계약체결용'!$I$2:$O$72,7,0)</f>
        <v>to7887@nate.com</v>
      </c>
    </row>
    <row r="47" spans="2:13">
      <c r="B47" s="26" t="s">
        <v>145</v>
      </c>
      <c r="C47" s="26" t="s">
        <v>158</v>
      </c>
      <c r="D47" s="26" t="s">
        <v>56</v>
      </c>
      <c r="E47" s="26" t="s">
        <v>57</v>
      </c>
      <c r="F47" s="26" t="s">
        <v>58</v>
      </c>
      <c r="G47" s="26" t="str">
        <f t="shared" ref="G47" si="1">E47&amp;" (\"&amp;F47&amp;")"</f>
        <v>이천만원 (\20,000,000원)</v>
      </c>
      <c r="H47" s="26" t="s">
        <v>146</v>
      </c>
      <c r="I47" s="26" t="s">
        <v>147</v>
      </c>
      <c r="J47" s="26" t="s">
        <v>148</v>
      </c>
      <c r="K47" s="26" t="s">
        <v>149</v>
      </c>
      <c r="L47" s="22" t="s">
        <v>231</v>
      </c>
      <c r="M47" s="22" t="s">
        <v>281</v>
      </c>
    </row>
    <row r="48" spans="2:13">
      <c r="B48" s="26" t="s">
        <v>120</v>
      </c>
      <c r="C48" s="26" t="str">
        <f>VLOOKUP(B48,'[1]2503기준유통망'!$B:$E,4,0)</f>
        <v>투자형 B-Shop (로드)</v>
      </c>
      <c r="D48" s="26" t="s">
        <v>56</v>
      </c>
      <c r="E48" s="26" t="s">
        <v>57</v>
      </c>
      <c r="F48" s="26" t="s">
        <v>58</v>
      </c>
      <c r="G48" s="26" t="str">
        <f t="shared" si="0"/>
        <v>이천만원 (\20,000,000원)</v>
      </c>
      <c r="H48" s="26" t="str">
        <f>VLOOKUP(B48,[1]계약체결용!$B:$K,7,0)</f>
        <v>일룸 광천점</v>
      </c>
      <c r="I48" s="26" t="str">
        <f>VLOOKUP(B48,[1]계약체결용!$B:$K,8,0)</f>
        <v>410-03-23351</v>
      </c>
      <c r="J48" s="26" t="str">
        <f>VLOOKUP(B48,[1]계약체결용!$B:$K,9,0)</f>
        <v>조 평 호</v>
      </c>
      <c r="K48" s="26" t="str">
        <f>VLOOKUP(B48,[1]계약체결용!$B:$K,10,0)</f>
        <v>광주광역시 서구 무진대로 956(농성동, 퍼시스광주센터)</v>
      </c>
      <c r="L48" s="22" t="s">
        <v>257</v>
      </c>
      <c r="M48" s="22" t="str">
        <f>VLOOKUP(L48,'[2]25년계약체결용'!$I$2:$O$72,7,0)</f>
        <v>gagu1110@naver.com</v>
      </c>
    </row>
    <row r="49" spans="2:13">
      <c r="B49" s="26" t="s">
        <v>121</v>
      </c>
      <c r="C49" s="26" t="str">
        <f>VLOOKUP(B49,'[1]2503기준유통망'!$B:$E,4,0)</f>
        <v>투자형 B-Shop (로드)</v>
      </c>
      <c r="D49" s="26" t="s">
        <v>56</v>
      </c>
      <c r="E49" s="26" t="s">
        <v>57</v>
      </c>
      <c r="F49" s="26" t="s">
        <v>58</v>
      </c>
      <c r="G49" s="26" t="str">
        <f t="shared" si="0"/>
        <v>이천만원 (\20,000,000원)</v>
      </c>
      <c r="H49" s="26" t="s">
        <v>167</v>
      </c>
      <c r="I49" s="26" t="str">
        <f>VLOOKUP(B49,[1]계약체결용!$B:$K,8,0)</f>
        <v>314-27-63783</v>
      </c>
      <c r="J49" s="26" t="str">
        <f>VLOOKUP(B49,[1]계약체결용!$B:$K,9,0)</f>
        <v>류 대 열</v>
      </c>
      <c r="K49" s="26" t="str">
        <f>VLOOKUP(B49,[1]계약체결용!$B:$K,10,0)</f>
        <v>대전 서구 가수원동 1061 리더스프라자 B동 2~3층</v>
      </c>
      <c r="L49" s="22" t="s">
        <v>168</v>
      </c>
      <c r="M49" s="22" t="s">
        <v>282</v>
      </c>
    </row>
    <row r="50" spans="2:13">
      <c r="B50" s="26" t="s">
        <v>122</v>
      </c>
      <c r="C50" s="26" t="str">
        <f>VLOOKUP(B50,'[1]2503기준유통망'!$B:$E,4,0)</f>
        <v>투자형 B-Shop (로드)</v>
      </c>
      <c r="D50" s="26" t="s">
        <v>56</v>
      </c>
      <c r="E50" s="26" t="s">
        <v>57</v>
      </c>
      <c r="F50" s="26" t="s">
        <v>58</v>
      </c>
      <c r="G50" s="26" t="str">
        <f t="shared" si="0"/>
        <v>이천만원 (\20,000,000원)</v>
      </c>
      <c r="H50" s="26" t="str">
        <f>VLOOKUP(B50,[1]계약체결용!$B:$K,7,0)</f>
        <v>일룸 안양점</v>
      </c>
      <c r="I50" s="26" t="str">
        <f>VLOOKUP(B50,[1]계약체결용!$B:$K,8,0)</f>
        <v>334-37-00928</v>
      </c>
      <c r="J50" s="26" t="str">
        <f>VLOOKUP(B50,[1]계약체결용!$B:$K,9,0)</f>
        <v>윤 기 언</v>
      </c>
      <c r="K50" s="26" t="str">
        <f>VLOOKUP(B50,[1]계약체결용!$B:$K,10,0)</f>
        <v>경기도 안양시 만안구 안양로 238</v>
      </c>
      <c r="L50" s="22" t="s">
        <v>258</v>
      </c>
      <c r="M50" s="22" t="str">
        <f>VLOOKUP(L50,'[2]25년계약체결용'!$I$2:$O$72,7,0)</f>
        <v>yke69@naver.com</v>
      </c>
    </row>
    <row r="51" spans="2:13">
      <c r="B51" s="26" t="s">
        <v>169</v>
      </c>
      <c r="C51" s="26" t="s">
        <v>160</v>
      </c>
      <c r="D51" s="26" t="s">
        <v>56</v>
      </c>
      <c r="E51" s="26" t="s">
        <v>57</v>
      </c>
      <c r="F51" s="26" t="s">
        <v>58</v>
      </c>
      <c r="G51" s="26" t="str">
        <f t="shared" si="0"/>
        <v>이천만원 (\20,000,000원)</v>
      </c>
      <c r="H51" s="26" t="s">
        <v>170</v>
      </c>
      <c r="I51" s="26" t="s">
        <v>171</v>
      </c>
      <c r="J51" s="26" t="s">
        <v>172</v>
      </c>
      <c r="K51" s="26" t="s">
        <v>173</v>
      </c>
      <c r="L51" s="22" t="s">
        <v>171</v>
      </c>
      <c r="M51" s="22" t="str">
        <f>VLOOKUP(L51,'[2]25년계약체결용'!$I$2:$O$72,7,0)</f>
        <v>gorgeouc@naver.com</v>
      </c>
    </row>
    <row r="52" spans="2:13">
      <c r="B52" s="26" t="s">
        <v>123</v>
      </c>
      <c r="C52" s="26" t="str">
        <f>VLOOKUP(B52,'[1]2503기준유통망'!$B:$E,4,0)</f>
        <v>투자형 B-Shop (로드)</v>
      </c>
      <c r="D52" s="26" t="s">
        <v>124</v>
      </c>
      <c r="E52" s="26" t="s">
        <v>57</v>
      </c>
      <c r="F52" s="26" t="s">
        <v>58</v>
      </c>
      <c r="G52" s="26" t="str">
        <f t="shared" si="0"/>
        <v>이천만원 (\20,000,000원)</v>
      </c>
      <c r="H52" s="26" t="str">
        <f>VLOOKUP(B52,[1]계약체결용!$B:$K,7,0)</f>
        <v>일룸 인천 검단점</v>
      </c>
      <c r="I52" s="26" t="str">
        <f>VLOOKUP(B52,[1]계약체결용!$B:$K,8,0)</f>
        <v>872-03-02670</v>
      </c>
      <c r="J52" s="26" t="str">
        <f>VLOOKUP(B52,[1]계약체결용!$B:$K,9,0)</f>
        <v>유 종 규</v>
      </c>
      <c r="K52" s="26" t="str">
        <f>VLOOKUP(B52,[1]계약체결용!$B:$K,10,0)</f>
        <v>인천 서구 원당대로 847, 4층</v>
      </c>
      <c r="L52" s="22" t="s">
        <v>259</v>
      </c>
      <c r="M52" s="22" t="str">
        <f>VLOOKUP(L52,'[2]25년계약체결용'!$I$2:$O$72,7,0)</f>
        <v>manwxyiloom@hanmail.net</v>
      </c>
    </row>
    <row r="53" spans="2:13">
      <c r="B53" s="26" t="s">
        <v>125</v>
      </c>
      <c r="C53" s="26" t="str">
        <f>VLOOKUP(B53,'[1]2503기준유통망'!$B:$E,4,0)</f>
        <v>투자형 B-Shop (로드)</v>
      </c>
      <c r="D53" s="26" t="s">
        <v>56</v>
      </c>
      <c r="E53" s="26" t="s">
        <v>57</v>
      </c>
      <c r="F53" s="26" t="s">
        <v>58</v>
      </c>
      <c r="G53" s="26" t="str">
        <f t="shared" si="0"/>
        <v>이천만원 (\20,000,000원)</v>
      </c>
      <c r="H53" s="26" t="str">
        <f>VLOOKUP(B53,[1]계약체결용!$B:$K,7,0)</f>
        <v>주식회사 일룸앤데스커</v>
      </c>
      <c r="I53" s="26" t="str">
        <f>VLOOKUP(B53,[1]계약체결용!$B:$K,8,0)</f>
        <v>408-88-02821</v>
      </c>
      <c r="J53" s="26" t="str">
        <f>VLOOKUP(B53,[1]계약체결용!$B:$K,9,0)</f>
        <v>조 평 호</v>
      </c>
      <c r="K53" s="26" t="str">
        <f>VLOOKUP(B53,[1]계약체결용!$B:$K,10,0)</f>
        <v>광주광역시 남구 봉선로 16 (주월동) 1층</v>
      </c>
      <c r="L53" s="22" t="s">
        <v>232</v>
      </c>
      <c r="M53" s="22" t="s">
        <v>270</v>
      </c>
    </row>
    <row r="54" spans="2:13">
      <c r="B54" s="26" t="s">
        <v>126</v>
      </c>
      <c r="C54" s="26" t="str">
        <f>VLOOKUP(B54,'[1]2503기준유통망'!$B:$E,4,0)</f>
        <v>투자형 B-Shop (로드)</v>
      </c>
      <c r="D54" s="26" t="s">
        <v>56</v>
      </c>
      <c r="E54" s="26" t="s">
        <v>57</v>
      </c>
      <c r="F54" s="26" t="s">
        <v>58</v>
      </c>
      <c r="G54" s="26" t="str">
        <f t="shared" si="0"/>
        <v>이천만원 (\20,000,000원)</v>
      </c>
      <c r="H54" s="26" t="str">
        <f>VLOOKUP(B54,[1]계약체결용!$B:$K,7,0)</f>
        <v>일룸천안신방점</v>
      </c>
      <c r="I54" s="26" t="str">
        <f>VLOOKUP(B54,[1]계약체결용!$B:$K,8,0)</f>
        <v>312-20-61970</v>
      </c>
      <c r="J54" s="26" t="str">
        <f>VLOOKUP(B54,[1]계약체결용!$B:$K,9,0)</f>
        <v>이 준 범</v>
      </c>
      <c r="K54" s="26" t="str">
        <f>VLOOKUP(B54,[1]계약체결용!$B:$K,10,0)</f>
        <v>충남 천안시 동남구 신촌로 6, 2층</v>
      </c>
      <c r="L54" s="22" t="s">
        <v>260</v>
      </c>
      <c r="M54" s="22" t="str">
        <f>VLOOKUP(L54,'[2]25년계약체결용'!$I$2:$O$72,7,0)</f>
        <v>co2nonia@nate.com</v>
      </c>
    </row>
    <row r="55" spans="2:13">
      <c r="B55" s="26" t="s">
        <v>127</v>
      </c>
      <c r="C55" s="26" t="str">
        <f>VLOOKUP(B55,'[1]2503기준유통망'!$B:$E,4,0)</f>
        <v>투자형 B-Shop (입점)</v>
      </c>
      <c r="D55" s="26" t="s">
        <v>56</v>
      </c>
      <c r="E55" s="26" t="s">
        <v>57</v>
      </c>
      <c r="F55" s="26" t="s">
        <v>58</v>
      </c>
      <c r="G55" s="26" t="str">
        <f t="shared" si="0"/>
        <v>이천만원 (\20,000,000원)</v>
      </c>
      <c r="H55" s="26" t="str">
        <f>VLOOKUP(B55,[1]계약체결용!$B:$K,7,0)</f>
        <v>일룸 기흥점</v>
      </c>
      <c r="I55" s="26" t="str">
        <f>VLOOKUP(B55,[1]계약체결용!$B:$K,8,0)</f>
        <v>213-26-00566</v>
      </c>
      <c r="J55" s="26" t="str">
        <f>VLOOKUP(B55,[1]계약체결용!$B:$K,9,0)</f>
        <v>호 현 숙</v>
      </c>
      <c r="K55" s="26" t="str">
        <f>VLOOKUP(B55,[1]계약체결용!$B:$K,10,0)</f>
        <v>경기 용인시 기흥구 신고매로 59 리빙파워센터 B2</v>
      </c>
      <c r="L55" s="22" t="s">
        <v>233</v>
      </c>
      <c r="M55" s="22" t="str">
        <f>VLOOKUP(L55,'[2]25년계약체결용'!$I$2:$O$72,7,0)</f>
        <v>mitch1579@gmail.com</v>
      </c>
    </row>
    <row r="56" spans="2:13">
      <c r="B56" s="26" t="s">
        <v>128</v>
      </c>
      <c r="C56" s="26" t="str">
        <f>VLOOKUP(B56,'[1]2503기준유통망'!$B:$E,4,0)</f>
        <v>투자형 B-Shop (입점)</v>
      </c>
      <c r="D56" s="26" t="s">
        <v>56</v>
      </c>
      <c r="E56" s="26" t="s">
        <v>57</v>
      </c>
      <c r="F56" s="26" t="s">
        <v>58</v>
      </c>
      <c r="G56" s="26" t="str">
        <f t="shared" si="0"/>
        <v>이천만원 (\20,000,000원)</v>
      </c>
      <c r="H56" s="26" t="str">
        <f>VLOOKUP(B56,[1]계약체결용!$B:$K,7,0)</f>
        <v>일룸 롯데광명점</v>
      </c>
      <c r="I56" s="26" t="str">
        <f>VLOOKUP(B56,[1]계약체결용!$B:$K,8,0)</f>
        <v>215-22-64855</v>
      </c>
      <c r="J56" s="26" t="str">
        <f>VLOOKUP(B56,[1]계약체결용!$B:$K,9,0)</f>
        <v>조 선 영</v>
      </c>
      <c r="K56" s="26" t="str">
        <f>VLOOKUP(B56,[1]계약체결용!$B:$K,10,0)</f>
        <v>경기 광명시 일직로 17 롯데프리미엄아울렛 광명점 4층</v>
      </c>
      <c r="L56" s="22" t="s">
        <v>261</v>
      </c>
      <c r="M56" s="22" t="str">
        <f>VLOOKUP(L56,'[2]25년계약체결용'!$I$2:$O$72,7,0)</f>
        <v>cholhong73@hanmail.net</v>
      </c>
    </row>
    <row r="57" spans="2:13">
      <c r="B57" s="26" t="s">
        <v>129</v>
      </c>
      <c r="C57" s="26" t="str">
        <f>VLOOKUP(B57,'[1]2503기준유통망'!$B:$E,4,0)</f>
        <v>투자형 B-Shop (입점)</v>
      </c>
      <c r="D57" s="26" t="s">
        <v>56</v>
      </c>
      <c r="E57" s="26" t="s">
        <v>57</v>
      </c>
      <c r="F57" s="26" t="s">
        <v>58</v>
      </c>
      <c r="G57" s="26" t="str">
        <f t="shared" si="0"/>
        <v>이천만원 (\20,000,000원)</v>
      </c>
      <c r="H57" s="26" t="str">
        <f>VLOOKUP(B57,[1]계약체결용!$B:$K,7,0)</f>
        <v>일룸 롯데동부산점</v>
      </c>
      <c r="I57" s="26" t="str">
        <f>VLOOKUP(B57,[1]계약체결용!$B:$K,8,0)</f>
        <v>710-50-00456</v>
      </c>
      <c r="J57" s="26" t="str">
        <f>VLOOKUP(B57,[1]계약체결용!$B:$K,9,0)</f>
        <v>안 율</v>
      </c>
      <c r="K57" s="26" t="str">
        <f>VLOOKUP(B57,[1]계약체결용!$B:$K,10,0)</f>
        <v>부산 기장군 동부산관광로 8 메종동부산 롯데몰동부산점 B동 1층</v>
      </c>
      <c r="L57" s="22" t="s">
        <v>234</v>
      </c>
      <c r="M57" s="22" t="str">
        <f>VLOOKUP(L57,'[2]25년계약체결용'!$I$2:$O$72,7,0)</f>
        <v>ld5yul@hanmail.net</v>
      </c>
    </row>
    <row r="58" spans="2:13">
      <c r="B58" s="26" t="s">
        <v>130</v>
      </c>
      <c r="C58" s="26" t="str">
        <f>VLOOKUP(B58,'[1]2503기준유통망'!$B:$E,4,0)</f>
        <v>투자형 B-Shop (입점)</v>
      </c>
      <c r="D58" s="26" t="s">
        <v>56</v>
      </c>
      <c r="E58" s="26" t="s">
        <v>57</v>
      </c>
      <c r="F58" s="26" t="s">
        <v>58</v>
      </c>
      <c r="G58" s="26" t="str">
        <f t="shared" si="0"/>
        <v>이천만원 (\20,000,000원)</v>
      </c>
      <c r="H58" s="26" t="str">
        <f>VLOOKUP(B58,[1]계약체결용!$B:$K,7,0)</f>
        <v>일룸평촌전시장</v>
      </c>
      <c r="I58" s="26" t="str">
        <f>VLOOKUP(B58,[1]계약체결용!$B:$K,8,0)</f>
        <v>138-10-79418</v>
      </c>
      <c r="J58" s="26" t="str">
        <f>VLOOKUP(B58,[1]계약체결용!$B:$K,9,0)</f>
        <v>황 봉 국</v>
      </c>
      <c r="K58" s="26" t="str">
        <f>VLOOKUP(B58,[1]계약체결용!$B:$K,10,0)</f>
        <v>경기도 안양시 동안구 시민대로 180, 6층(호계동, 롯데백화점 평촌점)</v>
      </c>
      <c r="L58" s="22" t="s">
        <v>198</v>
      </c>
      <c r="M58" s="22" t="str">
        <f>VLOOKUP(L58,'[2]25년계약체결용'!$I$2:$O$72,7,0)</f>
        <v>bkhwang4600@naver.com</v>
      </c>
    </row>
    <row r="59" spans="2:13">
      <c r="B59" s="26" t="s">
        <v>179</v>
      </c>
      <c r="C59" s="26" t="s">
        <v>174</v>
      </c>
      <c r="D59" s="26" t="s">
        <v>56</v>
      </c>
      <c r="E59" s="26" t="s">
        <v>57</v>
      </c>
      <c r="F59" s="26" t="s">
        <v>58</v>
      </c>
      <c r="G59" s="26" t="str">
        <f t="shared" si="0"/>
        <v>이천만원 (\20,000,000원)</v>
      </c>
      <c r="H59" s="26" t="s">
        <v>175</v>
      </c>
      <c r="I59" s="26" t="s">
        <v>176</v>
      </c>
      <c r="J59" s="26" t="s">
        <v>177</v>
      </c>
      <c r="K59" s="26" t="s">
        <v>178</v>
      </c>
      <c r="L59" s="22" t="s">
        <v>176</v>
      </c>
      <c r="M59" s="22" t="str">
        <f>VLOOKUP(L59,'[2]25년계약체결용'!$I$2:$O$72,7,0)</f>
        <v>ff1001@nate.com</v>
      </c>
    </row>
    <row r="60" spans="2:13">
      <c r="B60" s="26" t="s">
        <v>131</v>
      </c>
      <c r="C60" s="26" t="str">
        <f>VLOOKUP(B60,'[1]2503기준유통망'!$B:$E,4,0)</f>
        <v>투자형 B-Shop (입점)</v>
      </c>
      <c r="D60" s="26" t="s">
        <v>56</v>
      </c>
      <c r="E60" s="26" t="s">
        <v>57</v>
      </c>
      <c r="F60" s="26" t="s">
        <v>58</v>
      </c>
      <c r="G60" s="26" t="str">
        <f t="shared" si="0"/>
        <v>이천만원 (\20,000,000원)</v>
      </c>
      <c r="H60" s="26" t="str">
        <f>VLOOKUP(B60,[1]계약체결용!$B:$K,7,0)</f>
        <v>페드라(일룸 스타필드고양)</v>
      </c>
      <c r="I60" s="26" t="str">
        <f>VLOOKUP(B60,[1]계약체결용!$B:$K,8,0)</f>
        <v>417-10-72598</v>
      </c>
      <c r="J60" s="26" t="str">
        <f>VLOOKUP(B60,[1]계약체결용!$B:$K,9,0)</f>
        <v>안 중 우</v>
      </c>
      <c r="K60" s="26" t="str">
        <f>VLOOKUP(B60,[1]계약체결용!$B:$K,10,0)</f>
        <v>경기도 고양시 덕양구 고양대로 1955, b1층</v>
      </c>
      <c r="L60" s="22" t="s">
        <v>262</v>
      </c>
      <c r="M60" s="22" t="str">
        <f>VLOOKUP(L60,'[2]25년계약체결용'!$I$2:$O$72,7,0)</f>
        <v>ajw7609@naver.com</v>
      </c>
    </row>
    <row r="61" spans="2:13">
      <c r="B61" s="26" t="s">
        <v>132</v>
      </c>
      <c r="C61" s="26" t="str">
        <f>VLOOKUP(B61,'[1]2503기준유통망'!$B:$E,4,0)</f>
        <v>투자형 B-Shop (입점)</v>
      </c>
      <c r="D61" s="26" t="s">
        <v>56</v>
      </c>
      <c r="E61" s="26" t="s">
        <v>57</v>
      </c>
      <c r="F61" s="26" t="s">
        <v>58</v>
      </c>
      <c r="G61" s="26" t="str">
        <f t="shared" ref="G61:G65" si="2">E61&amp;" (\"&amp;F61&amp;")"</f>
        <v>이천만원 (\20,000,000원)</v>
      </c>
      <c r="H61" s="26" t="str">
        <f>VLOOKUP(B61,[1]계약체결용!$B:$K,7,0)</f>
        <v>주식회사 일룸수원중앙점</v>
      </c>
      <c r="I61" s="26" t="str">
        <f>VLOOKUP(B61,[1]계약체결용!$B:$K,8,0)</f>
        <v>609-87-00128</v>
      </c>
      <c r="J61" s="26" t="str">
        <f>VLOOKUP(B61,[1]계약체결용!$B:$K,9,0)</f>
        <v>석 옥 련</v>
      </c>
      <c r="K61" s="26" t="str">
        <f>VLOOKUP(B61,[1]계약체결용!$B:$K,10,0)</f>
        <v>경기 수원시 장안구 수성로 175, 6층 6210호(정자동, 스타필드수원)</v>
      </c>
      <c r="L61" s="22" t="s">
        <v>235</v>
      </c>
      <c r="M61" s="22" t="s">
        <v>284</v>
      </c>
    </row>
    <row r="62" spans="2:13">
      <c r="B62" s="26" t="s">
        <v>133</v>
      </c>
      <c r="C62" s="26" t="str">
        <f>VLOOKUP(B62,'[1]2503기준유통망'!$B:$E,4,0)</f>
        <v>투자형 B-Shop (입점)</v>
      </c>
      <c r="D62" s="26" t="s">
        <v>56</v>
      </c>
      <c r="E62" s="26" t="s">
        <v>57</v>
      </c>
      <c r="F62" s="26" t="s">
        <v>58</v>
      </c>
      <c r="G62" s="26" t="str">
        <f t="shared" si="2"/>
        <v>이천만원 (\20,000,000원)</v>
      </c>
      <c r="H62" s="26" t="str">
        <f>VLOOKUP(B62,[1]계약체결용!$B:$K,7,0)</f>
        <v>주식회사 일룸수원중앙점</v>
      </c>
      <c r="I62" s="26" t="str">
        <f>VLOOKUP(B62,[1]계약체결용!$B:$K,8,0)</f>
        <v>609-87-00128</v>
      </c>
      <c r="J62" s="26" t="str">
        <f>VLOOKUP(B62,[1]계약체결용!$B:$K,9,0)</f>
        <v>석 옥 련</v>
      </c>
      <c r="K62" s="26" t="str">
        <f>VLOOKUP(B62,[1]계약체결용!$B:$K,10,0)</f>
        <v>경기 수원시 장안구 수성로 175, 6층 6210호(정자동, 스타필드수원)</v>
      </c>
      <c r="L62" s="22" t="s">
        <v>235</v>
      </c>
      <c r="M62" s="22" t="s">
        <v>284</v>
      </c>
    </row>
    <row r="63" spans="2:13">
      <c r="B63" s="26" t="s">
        <v>134</v>
      </c>
      <c r="C63" s="26" t="str">
        <f>VLOOKUP(B63,'[1]2503기준유통망'!$B:$E,4,0)</f>
        <v>투자형 B-Shop (입점)</v>
      </c>
      <c r="D63" s="26" t="s">
        <v>56</v>
      </c>
      <c r="E63" s="26" t="s">
        <v>57</v>
      </c>
      <c r="F63" s="26" t="s">
        <v>58</v>
      </c>
      <c r="G63" s="26" t="str">
        <f t="shared" si="2"/>
        <v>이천만원 (\20,000,000원)</v>
      </c>
      <c r="H63" s="26" t="s">
        <v>167</v>
      </c>
      <c r="I63" s="26" t="s">
        <v>168</v>
      </c>
      <c r="J63" s="26" t="s">
        <v>166</v>
      </c>
      <c r="K63" s="26" t="s">
        <v>135</v>
      </c>
      <c r="L63" s="22" t="s">
        <v>168</v>
      </c>
      <c r="M63" s="22" t="s">
        <v>282</v>
      </c>
    </row>
    <row r="64" spans="2:13">
      <c r="B64" s="26" t="s">
        <v>136</v>
      </c>
      <c r="C64" s="26" t="str">
        <f>VLOOKUP(B64,'[1]2503기준유통망'!$B:$E,4,0)</f>
        <v>투자형 B-Shop (입점)</v>
      </c>
      <c r="D64" s="26" t="s">
        <v>56</v>
      </c>
      <c r="E64" s="26" t="s">
        <v>57</v>
      </c>
      <c r="F64" s="26" t="s">
        <v>58</v>
      </c>
      <c r="G64" s="26" t="str">
        <f t="shared" si="2"/>
        <v>이천만원 (\20,000,000원)</v>
      </c>
      <c r="H64" s="26" t="s">
        <v>137</v>
      </c>
      <c r="I64" s="26" t="s">
        <v>138</v>
      </c>
      <c r="J64" s="26" t="s">
        <v>113</v>
      </c>
      <c r="K64" s="26" t="s">
        <v>139</v>
      </c>
      <c r="L64" s="22" t="s">
        <v>263</v>
      </c>
      <c r="M64" s="22" t="str">
        <f>VLOOKUP(L64,'[2]25년계약체결용'!$I$2:$O$72,7,0)</f>
        <v>hg1634@naver.com</v>
      </c>
    </row>
    <row r="65" spans="2:13">
      <c r="B65" s="26" t="s">
        <v>140</v>
      </c>
      <c r="C65" s="26" t="str">
        <f>VLOOKUP(B65,'[1]2503기준유통망'!$B:$E,4,0)</f>
        <v>투자형 B-Shop (입점)</v>
      </c>
      <c r="D65" s="26" t="s">
        <v>124</v>
      </c>
      <c r="E65" s="26" t="s">
        <v>57</v>
      </c>
      <c r="F65" s="26" t="s">
        <v>58</v>
      </c>
      <c r="G65" s="26" t="str">
        <f t="shared" si="2"/>
        <v>이천만원 (\20,000,000원)</v>
      </c>
      <c r="H65" s="26" t="str">
        <f>VLOOKUP(B65,[1]계약체결용!$B:$K,7,0)</f>
        <v>토호드</v>
      </c>
      <c r="I65" s="26" t="str">
        <f>VLOOKUP(B65,[1]계약체결용!$B:$K,8,0)</f>
        <v>837-15-00255</v>
      </c>
      <c r="J65" s="26" t="str">
        <f>VLOOKUP(B65,[1]계약체결용!$B:$K,9,0)</f>
        <v>안 중 협</v>
      </c>
      <c r="K65" s="26" t="s">
        <v>193</v>
      </c>
      <c r="L65" s="22" t="s">
        <v>236</v>
      </c>
      <c r="M65" s="22" t="s">
        <v>285</v>
      </c>
    </row>
    <row r="66" spans="2:13">
      <c r="B66" s="26" t="s">
        <v>165</v>
      </c>
      <c r="C66" s="26" t="s">
        <v>158</v>
      </c>
      <c r="D66" s="26" t="s">
        <v>124</v>
      </c>
      <c r="E66" s="26" t="s">
        <v>57</v>
      </c>
      <c r="F66" s="26" t="s">
        <v>58</v>
      </c>
      <c r="G66" s="26" t="str">
        <f t="shared" ref="G66" si="3">E66&amp;" (\"&amp;F66&amp;")"</f>
        <v>이천만원 (\20,000,000원)</v>
      </c>
      <c r="H66" s="26" t="s">
        <v>167</v>
      </c>
      <c r="I66" s="26" t="s">
        <v>168</v>
      </c>
      <c r="J66" s="26" t="s">
        <v>166</v>
      </c>
      <c r="K66" s="26" t="s">
        <v>135</v>
      </c>
      <c r="L66" s="22" t="s">
        <v>168</v>
      </c>
      <c r="M66" s="22" t="s">
        <v>282</v>
      </c>
    </row>
    <row r="67" spans="2:13">
      <c r="B67" s="26" t="s">
        <v>191</v>
      </c>
      <c r="C67" s="26" t="s">
        <v>158</v>
      </c>
      <c r="D67" s="26" t="s">
        <v>184</v>
      </c>
      <c r="E67" s="26" t="s">
        <v>185</v>
      </c>
      <c r="F67" s="26" t="s">
        <v>186</v>
      </c>
      <c r="G67" s="26" t="s">
        <v>187</v>
      </c>
      <c r="H67" s="26" t="s">
        <v>183</v>
      </c>
      <c r="I67" s="26" t="s">
        <v>188</v>
      </c>
      <c r="J67" s="26" t="s">
        <v>189</v>
      </c>
      <c r="K67" s="26" t="s">
        <v>190</v>
      </c>
      <c r="L67" s="22" t="s">
        <v>188</v>
      </c>
      <c r="M67" s="22" t="s">
        <v>273</v>
      </c>
    </row>
    <row r="68" spans="2:13">
      <c r="B68" s="26" t="s">
        <v>196</v>
      </c>
      <c r="C68" s="26" t="s">
        <v>158</v>
      </c>
      <c r="D68" s="26"/>
      <c r="E68" s="26"/>
      <c r="F68" s="26"/>
      <c r="G68" s="26"/>
      <c r="H68" s="26" t="s">
        <v>197</v>
      </c>
      <c r="I68" s="26" t="s">
        <v>198</v>
      </c>
      <c r="J68" s="26" t="s">
        <v>199</v>
      </c>
      <c r="K68" s="26" t="s">
        <v>200</v>
      </c>
      <c r="L68" s="22" t="s">
        <v>198</v>
      </c>
      <c r="M68" s="22" t="str">
        <f>VLOOKUP(L68,'[2]25년계약체결용'!$I$2:$O$72,7,0)</f>
        <v>bkhwang4600@naver.com</v>
      </c>
    </row>
  </sheetData>
  <autoFilter ref="B2:K65" xr:uid="{00000000-0009-0000-0000-00000B000000}">
    <sortState ref="B3:K65">
      <sortCondition ref="C2"/>
    </sortState>
  </autoFilter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</vt:i4>
      </vt:variant>
      <vt:variant>
        <vt:lpstr>이름 지정된 범위</vt:lpstr>
      </vt:variant>
      <vt:variant>
        <vt:i4>4</vt:i4>
      </vt:variant>
    </vt:vector>
  </HeadingPairs>
  <TitlesOfParts>
    <vt:vector size="9" baseType="lpstr">
      <vt:lpstr>일반BS</vt:lpstr>
      <vt:lpstr>롯데영등포_입점BS</vt:lpstr>
      <vt:lpstr>투자B</vt:lpstr>
      <vt:lpstr>입점BS</vt:lpstr>
      <vt:lpstr>계약체결용</vt:lpstr>
      <vt:lpstr>롯데영등포_입점BS!Print_Area</vt:lpstr>
      <vt:lpstr>일반BS!Print_Area</vt:lpstr>
      <vt:lpstr>입점BS!Print_Area</vt:lpstr>
      <vt:lpstr>투자B!Print_Area</vt:lpstr>
    </vt:vector>
  </TitlesOfParts>
  <Manager/>
  <Company>Hewlett-Packard Company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배지형</dc:creator>
  <cp:keywords/>
  <dc:description/>
  <cp:lastModifiedBy> 김지수 (Jisoo kim)</cp:lastModifiedBy>
  <cp:revision/>
  <cp:lastPrinted>2026-01-15T08:30:57Z</cp:lastPrinted>
  <dcterms:created xsi:type="dcterms:W3CDTF">2018-06-25T04:48:39Z</dcterms:created>
  <dcterms:modified xsi:type="dcterms:W3CDTF">2026-01-16T02:52:22Z</dcterms:modified>
  <cp:category/>
  <cp:contentStatus/>
</cp:coreProperties>
</file>